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330" windowWidth="24240" windowHeight="12300" tabRatio="942" firstSheet="1" activeTab="13"/>
  </bookViews>
  <sheets>
    <sheet name="变更记录" sheetId="1" r:id="rId1"/>
    <sheet name="目录" sheetId="2" r:id="rId2"/>
    <sheet name="系统用户表" sheetId="3" r:id="rId3"/>
    <sheet name="系统用户组表" sheetId="4" r:id="rId4"/>
    <sheet name="系统分组表" sheetId="5" r:id="rId5"/>
    <sheet name="系统角色表" sheetId="6" r:id="rId6"/>
    <sheet name="系统组角色表" sheetId="7" r:id="rId7"/>
    <sheet name="系统资源表" sheetId="8" r:id="rId8"/>
    <sheet name="系统角色资源表" sheetId="9" r:id="rId9"/>
    <sheet name="系统设定表" sheetId="10" r:id="rId10"/>
    <sheet name="字典表" sheetId="11" r:id="rId11"/>
    <sheet name="数据备份表" sheetId="13" r:id="rId12"/>
    <sheet name="菜单样式表" sheetId="14" r:id="rId13"/>
    <sheet name="产线表" sheetId="20" r:id="rId14"/>
    <sheet name="机种表" sheetId="118" r:id="rId15"/>
    <sheet name="生产计划表" sheetId="15" r:id="rId16"/>
    <sheet name="计划产量表" sheetId="119" r:id="rId17"/>
    <sheet name="报警记录表" sheetId="120" r:id="rId18"/>
  </sheets>
  <definedNames>
    <definedName name="_xlnm._FilterDatabase" localSheetId="1" hidden="1">目录!$B$1:$C$13</definedName>
  </definedNames>
  <calcPr calcId="144525"/>
</workbook>
</file>

<file path=xl/calcChain.xml><?xml version="1.0" encoding="utf-8"?>
<calcChain xmlns="http://schemas.openxmlformats.org/spreadsheetml/2006/main">
  <c r="A8" i="20" l="1"/>
  <c r="A7" i="20"/>
  <c r="A11" i="120" l="1"/>
  <c r="A10" i="120"/>
  <c r="A9" i="120"/>
  <c r="A8" i="120"/>
  <c r="A7" i="120"/>
  <c r="A6" i="120"/>
  <c r="A5" i="120"/>
  <c r="A4" i="120"/>
  <c r="A3" i="120"/>
  <c r="A16" i="2" l="1"/>
  <c r="A15" i="2"/>
  <c r="A14" i="2"/>
  <c r="A14" i="119" l="1"/>
  <c r="A13" i="119"/>
  <c r="A12" i="119"/>
  <c r="A11" i="119"/>
  <c r="A10" i="119"/>
  <c r="A9" i="119"/>
  <c r="A8" i="119"/>
  <c r="A7" i="119"/>
  <c r="A6" i="119"/>
  <c r="A5" i="119"/>
  <c r="A4" i="119"/>
  <c r="A3" i="119"/>
  <c r="A13" i="15" l="1"/>
  <c r="A12" i="15"/>
  <c r="A11" i="15" l="1"/>
  <c r="A4" i="118"/>
  <c r="A6" i="118"/>
  <c r="A5" i="118"/>
  <c r="A3" i="118"/>
  <c r="A3" i="1" l="1"/>
  <c r="A4" i="15" l="1"/>
  <c r="A5" i="15" l="1"/>
  <c r="A13" i="2" l="1"/>
  <c r="A12" i="2"/>
  <c r="A11" i="2"/>
  <c r="A10" i="2"/>
  <c r="A9" i="2"/>
  <c r="A8" i="2"/>
  <c r="A7" i="2"/>
  <c r="A6" i="2"/>
  <c r="A5" i="2"/>
  <c r="A4" i="2"/>
  <c r="A3" i="2"/>
  <c r="A2" i="2"/>
  <c r="A6" i="20" l="1"/>
  <c r="A5" i="20"/>
  <c r="A4" i="20"/>
  <c r="A3" i="20"/>
  <c r="A10" i="15"/>
  <c r="A9" i="15"/>
  <c r="A8" i="15"/>
  <c r="A7" i="15"/>
  <c r="A6" i="15"/>
  <c r="A3" i="15"/>
  <c r="A5" i="14" l="1"/>
  <c r="A4" i="14"/>
  <c r="A3" i="14"/>
  <c r="A8" i="13"/>
  <c r="A7" i="13"/>
  <c r="A6" i="13"/>
  <c r="A5" i="13"/>
  <c r="A4" i="13"/>
  <c r="A3" i="13"/>
  <c r="A9" i="11"/>
  <c r="A8" i="11"/>
  <c r="A7" i="11"/>
  <c r="A6" i="11"/>
  <c r="A5" i="11"/>
  <c r="A4" i="11"/>
  <c r="A3" i="11"/>
  <c r="A5" i="10"/>
  <c r="A4" i="10"/>
  <c r="A3" i="10"/>
  <c r="A5" i="9"/>
  <c r="A4" i="9"/>
  <c r="A3" i="9"/>
  <c r="A12" i="8"/>
  <c r="A11" i="8"/>
  <c r="A10" i="8"/>
  <c r="A9" i="8"/>
  <c r="A8" i="8"/>
  <c r="A7" i="8"/>
  <c r="A6" i="8"/>
  <c r="A5" i="8"/>
  <c r="A4" i="8"/>
  <c r="A3" i="8"/>
  <c r="A5" i="7"/>
  <c r="A4" i="7"/>
  <c r="A3" i="7"/>
  <c r="A6" i="6"/>
  <c r="A5" i="6"/>
  <c r="A4" i="6"/>
  <c r="A3" i="6"/>
  <c r="A6" i="5"/>
  <c r="A5" i="5"/>
  <c r="A4" i="5"/>
  <c r="A3" i="5"/>
  <c r="A5" i="4"/>
  <c r="A4" i="4"/>
  <c r="A3" i="4"/>
  <c r="A15" i="3"/>
  <c r="A14" i="3"/>
  <c r="A13" i="3"/>
  <c r="A12" i="3"/>
  <c r="A11" i="3"/>
  <c r="A10" i="3"/>
  <c r="A9" i="3"/>
  <c r="A8" i="3"/>
  <c r="A7" i="3"/>
  <c r="A6" i="3"/>
  <c r="A5" i="3"/>
  <c r="A4" i="3"/>
  <c r="A3" i="3"/>
</calcChain>
</file>

<file path=xl/sharedStrings.xml><?xml version="1.0" encoding="utf-8"?>
<sst xmlns="http://schemas.openxmlformats.org/spreadsheetml/2006/main" count="612" uniqueCount="252">
  <si>
    <t>NO</t>
  </si>
  <si>
    <t>日期</t>
  </si>
  <si>
    <t>内容</t>
  </si>
  <si>
    <t>初始做成</t>
  </si>
  <si>
    <t>序号</t>
  </si>
  <si>
    <t>列名</t>
  </si>
  <si>
    <t>中文名</t>
  </si>
  <si>
    <t>类型</t>
  </si>
  <si>
    <t>长度</t>
  </si>
  <si>
    <t>主键</t>
  </si>
  <si>
    <t>非空</t>
  </si>
  <si>
    <t>默认值</t>
  </si>
  <si>
    <t>备注</t>
  </si>
  <si>
    <t>ID</t>
  </si>
  <si>
    <t>INT</t>
  </si>
  <si>
    <t>Y</t>
  </si>
  <si>
    <t>USER_NAME</t>
  </si>
  <si>
    <t>用户登录名</t>
  </si>
  <si>
    <t>VARCHAR</t>
  </si>
  <si>
    <t>PASSWORD</t>
  </si>
  <si>
    <t>密码</t>
  </si>
  <si>
    <t>CHAR</t>
  </si>
  <si>
    <t>MD5 加密</t>
  </si>
  <si>
    <t>EMPLOYEE_NO</t>
  </si>
  <si>
    <t>员工号</t>
  </si>
  <si>
    <t>REAL_NAME</t>
  </si>
  <si>
    <t>真实姓名</t>
  </si>
  <si>
    <t>SEX</t>
  </si>
  <si>
    <t>性别</t>
  </si>
  <si>
    <t xml:space="preserve">1：男    2：女 </t>
  </si>
  <si>
    <t>TELEPHONE</t>
  </si>
  <si>
    <t>办公电话</t>
  </si>
  <si>
    <t>MOBILE</t>
  </si>
  <si>
    <t>移动电话</t>
  </si>
  <si>
    <t>EMAIL</t>
  </si>
  <si>
    <t>电子邮箱</t>
  </si>
  <si>
    <t>REMARK</t>
  </si>
  <si>
    <t>STATUS</t>
  </si>
  <si>
    <t>状态</t>
  </si>
  <si>
    <t>0：停用  1：启用</t>
  </si>
  <si>
    <t>SUPER_MANAGER</t>
  </si>
  <si>
    <t>是否超级管理员</t>
  </si>
  <si>
    <t>0：否  1：是
系统中只存在 admin 1个超级管理员</t>
  </si>
  <si>
    <t>CLIENT_AUTH</t>
    <phoneticPr fontId="5" type="noConversion"/>
  </si>
  <si>
    <t>终端权限</t>
    <phoneticPr fontId="5" type="noConversion"/>
  </si>
  <si>
    <t>1：安灯 APP 模块
2：产线状态监控APP
4：问题管理APP
8：设备点检APP</t>
    <phoneticPr fontId="5" type="noConversion"/>
  </si>
  <si>
    <t>SYS_USER_GROUP</t>
  </si>
  <si>
    <t>USER_ID</t>
  </si>
  <si>
    <t>用户ID</t>
  </si>
  <si>
    <t>GROUP_ID</t>
  </si>
  <si>
    <t>组ID</t>
  </si>
  <si>
    <t>SYS_GROUP</t>
  </si>
  <si>
    <t>GROUP_CODE</t>
  </si>
  <si>
    <t>组代码</t>
  </si>
  <si>
    <t>GROUP_NAME</t>
  </si>
  <si>
    <t>组名称</t>
  </si>
  <si>
    <t>DESCRIPTION</t>
  </si>
  <si>
    <t>组描述</t>
  </si>
  <si>
    <t>SYS_ROLE</t>
  </si>
  <si>
    <t>ROLE_CODE</t>
  </si>
  <si>
    <t>角色代码</t>
  </si>
  <si>
    <t>ROLE_NAME</t>
  </si>
  <si>
    <t>角色名称</t>
  </si>
  <si>
    <t>角色描述</t>
  </si>
  <si>
    <t>SYS_GROUP_ROLE</t>
  </si>
  <si>
    <t>用户组ID</t>
  </si>
  <si>
    <t>ROLE_ID</t>
  </si>
  <si>
    <t>角色ID</t>
  </si>
  <si>
    <t>SYS_RESOURCE</t>
  </si>
  <si>
    <t>资源ID</t>
  </si>
  <si>
    <t>CODE</t>
  </si>
  <si>
    <t>资源编码</t>
  </si>
  <si>
    <t>PARENT_ID</t>
  </si>
  <si>
    <t>父级资源ID</t>
  </si>
  <si>
    <t>NAME</t>
  </si>
  <si>
    <t>资源名称</t>
  </si>
  <si>
    <t>URL</t>
  </si>
  <si>
    <t>资源路径</t>
  </si>
  <si>
    <t>TYPE</t>
  </si>
  <si>
    <t>资源类型</t>
  </si>
  <si>
    <t>备用字段。
1：文件   2：按钮    3：目录
该字段目前只能取值为1、3。</t>
  </si>
  <si>
    <t>ICON_CLS</t>
  </si>
  <si>
    <t>CSS 类名</t>
  </si>
  <si>
    <t>DISPLAY_ORDER</t>
  </si>
  <si>
    <t>顺序号</t>
  </si>
  <si>
    <t>MODE</t>
  </si>
  <si>
    <t>资源打开方式</t>
  </si>
  <si>
    <t>1：在当前页面中打开（TAB方式）
2：在新窗口中打开
3：Dialog</t>
    <phoneticPr fontId="5" type="noConversion"/>
  </si>
  <si>
    <t>IS_VISABLE</t>
  </si>
  <si>
    <t>资源是否可见</t>
  </si>
  <si>
    <t>1：可见    0：不可见</t>
  </si>
  <si>
    <t>SYS_ROLE_RESOURCE</t>
  </si>
  <si>
    <t>RESOURCE_ID</t>
  </si>
  <si>
    <t>SYS_SETTING</t>
  </si>
  <si>
    <t>PARAM_ID</t>
    <phoneticPr fontId="5" type="noConversion"/>
  </si>
  <si>
    <t>设定项ID</t>
    <phoneticPr fontId="5" type="noConversion"/>
  </si>
  <si>
    <t>PARAM_VALUE</t>
    <phoneticPr fontId="5" type="noConversion"/>
  </si>
  <si>
    <t>设定项值</t>
    <phoneticPr fontId="5" type="noConversion"/>
  </si>
  <si>
    <t>DESCRIPTION</t>
    <phoneticPr fontId="5" type="noConversion"/>
  </si>
  <si>
    <t>说明</t>
    <phoneticPr fontId="5" type="noConversion"/>
  </si>
  <si>
    <t>SYS_CODE</t>
  </si>
  <si>
    <t>分组代码</t>
  </si>
  <si>
    <t>分组名称</t>
  </si>
  <si>
    <t>ITEM_CODE</t>
  </si>
  <si>
    <t>项目代码</t>
  </si>
  <si>
    <t>ITEM_NAME</t>
  </si>
  <si>
    <t>项目名称</t>
  </si>
  <si>
    <t>项目序号</t>
  </si>
  <si>
    <t>操作时间</t>
  </si>
  <si>
    <t>FILE_NAME</t>
  </si>
  <si>
    <t>文件名称</t>
  </si>
  <si>
    <t>FILE_SIZE</t>
  </si>
  <si>
    <t>文件大小</t>
  </si>
  <si>
    <t>DOUBLE</t>
  </si>
  <si>
    <r>
      <rPr>
        <sz val="11"/>
        <color indexed="8"/>
        <rFont val="微软雅黑"/>
        <family val="2"/>
        <charset val="134"/>
      </rPr>
      <t>8</t>
    </r>
    <r>
      <rPr>
        <sz val="11"/>
        <color indexed="8"/>
        <rFont val="微软雅黑"/>
        <family val="2"/>
        <charset val="134"/>
      </rPr>
      <t>,2</t>
    </r>
  </si>
  <si>
    <t>OP_DATETIME</t>
  </si>
  <si>
    <t>DATETIME</t>
  </si>
  <si>
    <t>OP_TYPE</t>
  </si>
  <si>
    <t>操作类型</t>
  </si>
  <si>
    <r>
      <rPr>
        <sz val="11"/>
        <color indexed="8"/>
        <rFont val="微软雅黑"/>
        <family val="2"/>
        <charset val="134"/>
      </rPr>
      <t>操作人I</t>
    </r>
    <r>
      <rPr>
        <sz val="11"/>
        <color indexed="8"/>
        <rFont val="微软雅黑"/>
        <family val="2"/>
        <charset val="134"/>
      </rPr>
      <t>D</t>
    </r>
  </si>
  <si>
    <t>SYS_ICON_CLASS</t>
    <phoneticPr fontId="5" type="noConversion"/>
  </si>
  <si>
    <t>ICON_CLASS</t>
    <phoneticPr fontId="5" type="noConversion"/>
  </si>
  <si>
    <t>样式名称(英)</t>
    <phoneticPr fontId="5" type="noConversion"/>
  </si>
  <si>
    <t>ICON_TEXT</t>
    <phoneticPr fontId="5" type="noConversion"/>
  </si>
  <si>
    <t>样式名称(中)</t>
    <phoneticPr fontId="5" type="noConversion"/>
  </si>
  <si>
    <t>唯一ID</t>
  </si>
  <si>
    <t>自增主键</t>
  </si>
  <si>
    <r>
      <rPr>
        <sz val="11"/>
        <color indexed="8"/>
        <rFont val="微软雅黑"/>
        <family val="2"/>
        <charset val="134"/>
      </rPr>
      <t>I</t>
    </r>
    <r>
      <rPr>
        <sz val="11"/>
        <color indexed="8"/>
        <rFont val="微软雅黑"/>
        <family val="2"/>
        <charset val="134"/>
      </rPr>
      <t>NT</t>
    </r>
  </si>
  <si>
    <t>REMARK</t>
    <phoneticPr fontId="5" type="noConversion"/>
  </si>
  <si>
    <t>备注</t>
    <phoneticPr fontId="5" type="noConversion"/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</si>
  <si>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ARCHAR</t>
    </r>
  </si>
  <si>
    <t>BAS_PRODLINE</t>
    <phoneticPr fontId="5" type="noConversion"/>
  </si>
  <si>
    <t>PL_CODE</t>
  </si>
  <si>
    <t>产线编码</t>
    <phoneticPr fontId="5" type="noConversion"/>
  </si>
  <si>
    <t>PL_NAME</t>
  </si>
  <si>
    <t>产线名称</t>
    <phoneticPr fontId="5" type="noConversion"/>
  </si>
  <si>
    <t>REMARK</t>
    <phoneticPr fontId="5" type="noConversion"/>
  </si>
  <si>
    <t>备注</t>
    <phoneticPr fontId="5" type="noConversion"/>
  </si>
  <si>
    <t>PL_ID</t>
    <phoneticPr fontId="5" type="noConversion"/>
  </si>
  <si>
    <t>END_TIME</t>
    <phoneticPr fontId="5" type="noConversion"/>
  </si>
  <si>
    <t>表名</t>
    <phoneticPr fontId="5" type="noConversion"/>
  </si>
  <si>
    <t>表名(中文)</t>
    <phoneticPr fontId="5" type="noConversion"/>
  </si>
  <si>
    <t>说明</t>
    <phoneticPr fontId="5" type="noConversion"/>
  </si>
  <si>
    <t>SYS_USER</t>
    <phoneticPr fontId="5" type="noConversion"/>
  </si>
  <si>
    <t>序号</t>
    <phoneticPr fontId="5" type="noConversion"/>
  </si>
  <si>
    <t>系统用户表</t>
    <phoneticPr fontId="5" type="noConversion"/>
  </si>
  <si>
    <t>系统用户组表</t>
    <phoneticPr fontId="5" type="noConversion"/>
  </si>
  <si>
    <t>系统分组表</t>
    <phoneticPr fontId="5" type="noConversion"/>
  </si>
  <si>
    <t>系统角色表</t>
    <phoneticPr fontId="5" type="noConversion"/>
  </si>
  <si>
    <t>系统组角色表</t>
    <phoneticPr fontId="5" type="noConversion"/>
  </si>
  <si>
    <t>系统资源表</t>
    <phoneticPr fontId="5" type="noConversion"/>
  </si>
  <si>
    <t>系统角色资源表</t>
    <phoneticPr fontId="5" type="noConversion"/>
  </si>
  <si>
    <t>系统设定表</t>
    <phoneticPr fontId="5" type="noConversion"/>
  </si>
  <si>
    <t>字典表</t>
    <phoneticPr fontId="5" type="noConversion"/>
  </si>
  <si>
    <t>数据备份表</t>
    <phoneticPr fontId="5" type="noConversion"/>
  </si>
  <si>
    <t>菜单样式表</t>
    <phoneticPr fontId="5" type="noConversion"/>
  </si>
  <si>
    <t>SYS_ICON_CLASS</t>
  </si>
  <si>
    <t>产线表</t>
    <phoneticPr fontId="5" type="noConversion"/>
  </si>
  <si>
    <r>
      <rPr>
        <u/>
        <sz val="11"/>
        <color theme="10"/>
        <rFont val="微软雅黑"/>
        <family val="2"/>
        <charset val="134"/>
      </rPr>
      <t>返回</t>
    </r>
  </si>
  <si>
    <t>SYS_CODE</t>
    <phoneticPr fontId="5" type="noConversion"/>
  </si>
  <si>
    <t>GROUP_CODE</t>
    <phoneticPr fontId="5" type="noConversion"/>
  </si>
  <si>
    <t>HIS_BACKUP</t>
    <phoneticPr fontId="5" type="noConversion"/>
  </si>
  <si>
    <t>HIS_BACKUP</t>
    <phoneticPr fontId="5" type="noConversion"/>
  </si>
  <si>
    <t>OP_USER_ID</t>
    <phoneticPr fontId="5" type="noConversion"/>
  </si>
  <si>
    <t>SYS_USER</t>
    <phoneticPr fontId="5" type="noConversion"/>
  </si>
  <si>
    <t>SYS_USER_GROUP</t>
    <phoneticPr fontId="5" type="noConversion"/>
  </si>
  <si>
    <t>BAS_MACHTYPE</t>
    <phoneticPr fontId="5" type="noConversion"/>
  </si>
  <si>
    <t>MODEL_NO</t>
    <phoneticPr fontId="5" type="noConversion"/>
  </si>
  <si>
    <t>型号</t>
    <phoneticPr fontId="5" type="noConversion"/>
  </si>
  <si>
    <t>VARCHAR</t>
    <phoneticPr fontId="5" type="noConversion"/>
  </si>
  <si>
    <t>MATY_NAME</t>
    <phoneticPr fontId="5" type="noConversion"/>
  </si>
  <si>
    <t>机种名称</t>
    <phoneticPr fontId="5" type="noConversion"/>
  </si>
  <si>
    <t>PROD_PLAN</t>
    <phoneticPr fontId="5" type="noConversion"/>
  </si>
  <si>
    <t>PLAN_DATE</t>
    <phoneticPr fontId="5" type="noConversion"/>
  </si>
  <si>
    <t>计划日期</t>
    <phoneticPr fontId="5" type="noConversion"/>
  </si>
  <si>
    <t>CHAR</t>
    <phoneticPr fontId="5" type="noConversion"/>
  </si>
  <si>
    <t>YYYY-MM-DD</t>
    <phoneticPr fontId="5" type="noConversion"/>
  </si>
  <si>
    <t>产线ID</t>
    <phoneticPr fontId="5" type="noConversion"/>
  </si>
  <si>
    <t>INT</t>
    <phoneticPr fontId="5" type="noConversion"/>
  </si>
  <si>
    <t>1：定子生产线    2：马达生产线</t>
    <phoneticPr fontId="5" type="noConversion"/>
  </si>
  <si>
    <t>固定 2 条记录，手工录入即可。ID  = 1：定子生产线    2：马达生产线</t>
    <phoneticPr fontId="5" type="noConversion"/>
  </si>
  <si>
    <t>SEQ_NO</t>
    <phoneticPr fontId="5" type="noConversion"/>
  </si>
  <si>
    <t>计划序号</t>
    <phoneticPr fontId="5" type="noConversion"/>
  </si>
  <si>
    <t>从 1 开始，当一天中的某条计划删除时，其后的计划的序号依次减 1</t>
    <phoneticPr fontId="5" type="noConversion"/>
  </si>
  <si>
    <t>BANGAO_CODE</t>
    <phoneticPr fontId="5" type="noConversion"/>
  </si>
  <si>
    <t>制番号</t>
    <phoneticPr fontId="5" type="noConversion"/>
  </si>
  <si>
    <t>VARCHAR</t>
    <phoneticPr fontId="5" type="noConversion"/>
  </si>
  <si>
    <t>MACHTYPE_ID</t>
    <phoneticPr fontId="5" type="noConversion"/>
  </si>
  <si>
    <t>机种ID</t>
    <phoneticPr fontId="5" type="noConversion"/>
  </si>
  <si>
    <t>BAS_MACHTYPE.ID</t>
    <phoneticPr fontId="5" type="noConversion"/>
  </si>
  <si>
    <t>STATE</t>
    <phoneticPr fontId="5" type="noConversion"/>
  </si>
  <si>
    <t>计划状态</t>
    <phoneticPr fontId="5" type="noConversion"/>
  </si>
  <si>
    <t>EXEC_MAN</t>
    <phoneticPr fontId="5" type="noConversion"/>
  </si>
  <si>
    <t>计划执行人</t>
    <phoneticPr fontId="5" type="noConversion"/>
  </si>
  <si>
    <t>SYS_USER.ID</t>
    <phoneticPr fontId="5" type="noConversion"/>
  </si>
  <si>
    <t>开始加工时间</t>
    <phoneticPr fontId="5" type="noConversion"/>
  </si>
  <si>
    <t>DATETIME</t>
    <phoneticPr fontId="5" type="noConversion"/>
  </si>
  <si>
    <t>当STATE 从 1 变为 2 时，该值被设定</t>
    <phoneticPr fontId="5" type="noConversion"/>
  </si>
  <si>
    <t>当STATE 从 2 变为 3 时，该值被设定</t>
    <phoneticPr fontId="5" type="noConversion"/>
  </si>
  <si>
    <t>异常原因代码</t>
    <phoneticPr fontId="5" type="noConversion"/>
  </si>
  <si>
    <t>取值自 SYS_CODE.ITEM_CODE WHERE SYS_CODE.GROUP_CODE = 'MODEL_NO_LIST'</t>
    <phoneticPr fontId="5" type="noConversion"/>
  </si>
  <si>
    <t>当 PL_ID = 1 （定子生产线）时，取值自 SYS_CODE.ITEM_CODE WHERE SYS_CODE.GROUP_CODE = 'PLDZ_REASON_LIST'
当 PL_ID = 2 （马达生产线）时，取值自 SYS_CODE.ITEM_CODE WHERE SYS_CODE.GROUP_CODE = 'PLMD_REASON_LIST'</t>
    <phoneticPr fontId="5" type="noConversion"/>
  </si>
  <si>
    <t>PROD_PLAN_AMOUNT</t>
    <phoneticPr fontId="5" type="noConversion"/>
  </si>
  <si>
    <t>AMOUNT08</t>
    <phoneticPr fontId="5" type="noConversion"/>
  </si>
  <si>
    <t>8:00 的产量</t>
    <phoneticPr fontId="5" type="noConversion"/>
  </si>
  <si>
    <t>AMOUNT10</t>
    <phoneticPr fontId="5" type="noConversion"/>
  </si>
  <si>
    <t>10:00 的产量</t>
    <phoneticPr fontId="5" type="noConversion"/>
  </si>
  <si>
    <t>AMOUNT12</t>
    <phoneticPr fontId="5" type="noConversion"/>
  </si>
  <si>
    <t>12:00 的产量</t>
    <phoneticPr fontId="5" type="noConversion"/>
  </si>
  <si>
    <t>AMOUNT14</t>
    <phoneticPr fontId="5" type="noConversion"/>
  </si>
  <si>
    <t>14:00 的产量</t>
    <phoneticPr fontId="5" type="noConversion"/>
  </si>
  <si>
    <t>AMOUNT16</t>
    <phoneticPr fontId="5" type="noConversion"/>
  </si>
  <si>
    <t>16:00 的产量</t>
    <phoneticPr fontId="5" type="noConversion"/>
  </si>
  <si>
    <t>AMOUNT18</t>
    <phoneticPr fontId="5" type="noConversion"/>
  </si>
  <si>
    <t>18:00 的产量</t>
    <phoneticPr fontId="5" type="noConversion"/>
  </si>
  <si>
    <t>AMOUNT20</t>
    <phoneticPr fontId="5" type="noConversion"/>
  </si>
  <si>
    <t>20:00 的产量</t>
    <phoneticPr fontId="5" type="noConversion"/>
  </si>
  <si>
    <t>AMOUNT08</t>
    <phoneticPr fontId="5" type="noConversion"/>
  </si>
  <si>
    <t>IDEAL_TIME</t>
    <phoneticPr fontId="5" type="noConversion"/>
  </si>
  <si>
    <t>日计划理论完成时间</t>
    <phoneticPr fontId="5" type="noConversion"/>
  </si>
  <si>
    <t>HH:MM</t>
    <phoneticPr fontId="5" type="noConversion"/>
  </si>
  <si>
    <t>机种表</t>
    <phoneticPr fontId="5" type="noConversion"/>
  </si>
  <si>
    <t>生产计划表</t>
    <phoneticPr fontId="5" type="noConversion"/>
  </si>
  <si>
    <t>计划产量表</t>
    <phoneticPr fontId="5" type="noConversion"/>
  </si>
  <si>
    <t>BAS_MACHTYPE</t>
    <phoneticPr fontId="5" type="noConversion"/>
  </si>
  <si>
    <t>PROD_PLAN</t>
    <phoneticPr fontId="5" type="noConversion"/>
  </si>
  <si>
    <t>PROD_PLAN_AMOUNT</t>
    <phoneticPr fontId="5" type="noConversion"/>
  </si>
  <si>
    <t>BAS_PRODLINE</t>
    <phoneticPr fontId="5" type="noConversion"/>
  </si>
  <si>
    <t>BEGIN_TIME</t>
    <phoneticPr fontId="5" type="noConversion"/>
  </si>
  <si>
    <t>结束加工时间</t>
    <phoneticPr fontId="5" type="noConversion"/>
  </si>
  <si>
    <t>EXCEPT_REASON</t>
    <phoneticPr fontId="5" type="noConversion"/>
  </si>
  <si>
    <t>REMARK</t>
    <phoneticPr fontId="5" type="noConversion"/>
  </si>
  <si>
    <t>描述</t>
    <phoneticPr fontId="5" type="noConversion"/>
  </si>
  <si>
    <t>报警日期</t>
    <phoneticPr fontId="5" type="noConversion"/>
  </si>
  <si>
    <t>PROD_ARLARM</t>
    <phoneticPr fontId="5" type="noConversion"/>
  </si>
  <si>
    <t>ALARM_DATE</t>
    <phoneticPr fontId="5" type="noConversion"/>
  </si>
  <si>
    <t>CALL_MAN</t>
    <phoneticPr fontId="5" type="noConversion"/>
  </si>
  <si>
    <t>报警开始时间</t>
    <phoneticPr fontId="5" type="noConversion"/>
  </si>
  <si>
    <t>DATETIME</t>
    <phoneticPr fontId="5" type="noConversion"/>
  </si>
  <si>
    <t>报警人</t>
    <phoneticPr fontId="5" type="noConversion"/>
  </si>
  <si>
    <t>报警解除时间</t>
    <phoneticPr fontId="5" type="noConversion"/>
  </si>
  <si>
    <t>RELEASE_TIME</t>
    <phoneticPr fontId="5" type="noConversion"/>
  </si>
  <si>
    <t>RELEASE_MAN</t>
    <phoneticPr fontId="5" type="noConversion"/>
  </si>
  <si>
    <t>报警解除人</t>
    <phoneticPr fontId="5" type="noConversion"/>
  </si>
  <si>
    <t xml:space="preserve">1：待加工   2：加工中   3：加工完成 </t>
    <phoneticPr fontId="5" type="noConversion"/>
  </si>
  <si>
    <t>产线状态</t>
    <phoneticPr fontId="5" type="noConversion"/>
  </si>
  <si>
    <t>INT</t>
    <phoneticPr fontId="5" type="noConversion"/>
  </si>
  <si>
    <t>0：正产    1：报警中</t>
    <phoneticPr fontId="5" type="noConversion"/>
  </si>
  <si>
    <t>ALARM_ID</t>
    <phoneticPr fontId="5" type="noConversion"/>
  </si>
  <si>
    <t>报警记录ID</t>
    <phoneticPr fontId="5" type="noConversion"/>
  </si>
  <si>
    <t>STATE</t>
    <phoneticPr fontId="5" type="noConversion"/>
  </si>
  <si>
    <t>PROD_ARLARM.ID
当 STATE = 1 时，该字段有值。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</si>
</sst>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indexed="8"/>
      <name val="Tahoma"/>
      <charset val="134"/>
    </font>
    <font>
      <sz val="11"/>
      <color indexed="8"/>
      <name val="微软雅黑"/>
      <family val="2"/>
      <charset val="134"/>
    </font>
    <font>
      <sz val="11"/>
      <color theme="1"/>
      <name val="Tahoma"/>
      <family val="2"/>
    </font>
    <font>
      <u/>
      <sz val="11"/>
      <color theme="10"/>
      <name val="Tahoma"/>
      <family val="2"/>
    </font>
    <font>
      <sz val="11"/>
      <color indexed="8"/>
      <name val="Tahoma"/>
      <family val="2"/>
    </font>
    <font>
      <sz val="9"/>
      <name val="Tahoma"/>
      <family val="2"/>
    </font>
    <font>
      <sz val="11"/>
      <color rgb="FF000000"/>
      <name val="宋体"/>
      <family val="3"/>
      <charset val="134"/>
    </font>
    <font>
      <sz val="22"/>
      <color indexed="8"/>
      <name val="微软雅黑"/>
      <family val="2"/>
      <charset val="134"/>
    </font>
    <font>
      <u/>
      <sz val="11"/>
      <color indexed="12"/>
      <name val="Tahoma"/>
      <family val="2"/>
    </font>
    <font>
      <b/>
      <sz val="12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2" fillId="0" borderId="0"/>
    <xf numFmtId="0" fontId="4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</cellStyleXfs>
  <cellXfs count="34">
    <xf numFmtId="0" fontId="0" fillId="0" borderId="0" xfId="0" applyAlignment="1"/>
    <xf numFmtId="0" fontId="1" fillId="2" borderId="0" xfId="0" applyFont="1" applyFill="1" applyAlignment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top" wrapText="1"/>
    </xf>
    <xf numFmtId="0" fontId="1" fillId="0" borderId="0" xfId="2" applyFont="1" applyAlignment="1"/>
    <xf numFmtId="0" fontId="1" fillId="4" borderId="1" xfId="2" applyFont="1" applyFill="1" applyBorder="1" applyAlignment="1">
      <alignment horizontal="center"/>
    </xf>
    <xf numFmtId="0" fontId="1" fillId="0" borderId="1" xfId="2" applyFont="1" applyBorder="1" applyAlignment="1">
      <alignment horizontal="center" vertical="center"/>
    </xf>
    <xf numFmtId="0" fontId="1" fillId="0" borderId="1" xfId="2" applyFont="1" applyBorder="1" applyAlignment="1"/>
    <xf numFmtId="0" fontId="1" fillId="0" borderId="1" xfId="2" applyFont="1" applyBorder="1" applyAlignment="1">
      <alignment horizontal="center"/>
    </xf>
    <xf numFmtId="0" fontId="1" fillId="0" borderId="1" xfId="2" applyFont="1" applyFill="1" applyBorder="1" applyAlignment="1"/>
    <xf numFmtId="0" fontId="1" fillId="0" borderId="1" xfId="2" applyFont="1" applyBorder="1" applyAlignment="1">
      <alignment wrapText="1"/>
    </xf>
    <xf numFmtId="0" fontId="1" fillId="0" borderId="1" xfId="2" applyFont="1" applyBorder="1" applyAlignment="1">
      <alignment vertical="center"/>
    </xf>
    <xf numFmtId="0" fontId="1" fillId="2" borderId="1" xfId="2" applyFont="1" applyFill="1" applyBorder="1" applyAlignment="1"/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right"/>
    </xf>
    <xf numFmtId="0" fontId="1" fillId="5" borderId="1" xfId="2" applyFont="1" applyFill="1" applyBorder="1" applyAlignment="1">
      <alignment horizontal="left"/>
    </xf>
    <xf numFmtId="0" fontId="1" fillId="0" borderId="1" xfId="2" applyFont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3" fillId="0" borderId="0" xfId="4" applyAlignment="1" applyProtection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Alignment="1"/>
    <xf numFmtId="0" fontId="10" fillId="5" borderId="1" xfId="4" applyFont="1" applyFill="1" applyBorder="1" applyAlignment="1"/>
    <xf numFmtId="0" fontId="1" fillId="5" borderId="0" xfId="0" applyFont="1" applyFill="1" applyAlignment="1"/>
    <xf numFmtId="0" fontId="3" fillId="5" borderId="1" xfId="4" applyFill="1" applyBorder="1" applyAlignment="1"/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</cellXfs>
  <cellStyles count="7">
    <cellStyle name="常规" xfId="0" builtinId="0"/>
    <cellStyle name="常规 2" xfId="1"/>
    <cellStyle name="常规 3" xfId="2"/>
    <cellStyle name="常规 4" xfId="6"/>
    <cellStyle name="超链接" xfId="4" builtinId="8"/>
    <cellStyle name="超链接 2" xfId="3"/>
    <cellStyle name="超链接 3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1</xdr:row>
          <xdr:rowOff>457200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674817" name="Button 1" hidden="1">
              <a:extLst>
                <a:ext uri="{63B3BB69-23CF-44E3-9099-C40C66FF867C}">
                  <a14:compatExt spid="_x0000_s67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674818" name="Button 2" hidden="1">
              <a:extLst>
                <a:ext uri="{63B3BB69-23CF-44E3-9099-C40C66FF867C}">
                  <a14:compatExt spid="_x0000_s67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678913" name="Button 1" hidden="1">
              <a:extLst>
                <a:ext uri="{63B3BB69-23CF-44E3-9099-C40C66FF867C}">
                  <a14:compatExt spid="_x0000_s67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678914" name="Button 2" hidden="1">
              <a:extLst>
                <a:ext uri="{63B3BB69-23CF-44E3-9099-C40C66FF867C}">
                  <a14:compatExt spid="_x0000_s678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679937" name="Button 1" hidden="1">
              <a:extLst>
                <a:ext uri="{63B3BB69-23CF-44E3-9099-C40C66FF867C}">
                  <a14:compatExt spid="_x0000_s67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0</xdr:row>
          <xdr:rowOff>114300</xdr:rowOff>
        </xdr:from>
        <xdr:to>
          <xdr:col>13</xdr:col>
          <xdr:colOff>333375</xdr:colOff>
          <xdr:row>0</xdr:row>
          <xdr:rowOff>457200</xdr:rowOff>
        </xdr:to>
        <xdr:sp macro="" textlink="">
          <xdr:nvSpPr>
            <xdr:cNvPr id="679938" name="Button 2" hidden="1">
              <a:extLst>
                <a:ext uri="{63B3BB69-23CF-44E3-9099-C40C66FF867C}">
                  <a14:compatExt spid="_x0000_s67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SQL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3"/>
  <sheetViews>
    <sheetView workbookViewId="0">
      <selection activeCell="B29" sqref="B29"/>
    </sheetView>
  </sheetViews>
  <sheetFormatPr defaultColWidth="9" defaultRowHeight="16.5" x14ac:dyDescent="0.3"/>
  <cols>
    <col min="1" max="1" width="10" style="1" customWidth="1"/>
    <col min="2" max="2" width="20.5" style="1" customWidth="1"/>
    <col min="3" max="3" width="86" style="1" customWidth="1"/>
    <col min="4" max="16384" width="9" style="1"/>
  </cols>
  <sheetData>
    <row r="2" spans="1:3" x14ac:dyDescent="0.3">
      <c r="A2" s="2" t="s">
        <v>0</v>
      </c>
      <c r="B2" s="2" t="s">
        <v>1</v>
      </c>
      <c r="C2" s="2" t="s">
        <v>2</v>
      </c>
    </row>
    <row r="3" spans="1:3" x14ac:dyDescent="0.3">
      <c r="A3" s="3">
        <f t="shared" ref="A3" si="0">ROW() -2</f>
        <v>1</v>
      </c>
      <c r="B3" s="4">
        <v>43231</v>
      </c>
      <c r="C3" s="5" t="s">
        <v>3</v>
      </c>
    </row>
  </sheetData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6"/>
  <sheetViews>
    <sheetView workbookViewId="0">
      <selection activeCell="B13" sqref="B13"/>
    </sheetView>
  </sheetViews>
  <sheetFormatPr defaultRowHeight="18" customHeight="1" x14ac:dyDescent="0.3"/>
  <cols>
    <col min="1" max="1" width="7.625" style="23" customWidth="1"/>
    <col min="2" max="2" width="31.375" style="22" bestFit="1" customWidth="1"/>
    <col min="3" max="3" width="35.25" style="22" customWidth="1"/>
    <col min="4" max="4" width="30.125" style="22" customWidth="1"/>
    <col min="5" max="16384" width="9" style="22"/>
  </cols>
  <sheetData>
    <row r="1" spans="1:4" ht="18" customHeight="1" x14ac:dyDescent="0.3">
      <c r="A1" s="21" t="s">
        <v>144</v>
      </c>
      <c r="B1" s="21" t="s">
        <v>140</v>
      </c>
      <c r="C1" s="21" t="s">
        <v>141</v>
      </c>
      <c r="D1" s="21" t="s">
        <v>142</v>
      </c>
    </row>
    <row r="2" spans="1:4" s="28" customFormat="1" ht="18" customHeight="1" x14ac:dyDescent="0.3">
      <c r="A2" s="25">
        <f>ROW()-1</f>
        <v>1</v>
      </c>
      <c r="B2" s="27" t="s">
        <v>164</v>
      </c>
      <c r="C2" s="26" t="s">
        <v>145</v>
      </c>
      <c r="D2" s="26"/>
    </row>
    <row r="3" spans="1:4" s="28" customFormat="1" ht="18" customHeight="1" x14ac:dyDescent="0.3">
      <c r="A3" s="25">
        <f t="shared" ref="A3:A16" si="0">ROW()-1</f>
        <v>2</v>
      </c>
      <c r="B3" s="27" t="s">
        <v>165</v>
      </c>
      <c r="C3" s="26" t="s">
        <v>146</v>
      </c>
      <c r="D3" s="26"/>
    </row>
    <row r="4" spans="1:4" s="28" customFormat="1" ht="18" customHeight="1" x14ac:dyDescent="0.3">
      <c r="A4" s="25">
        <f t="shared" si="0"/>
        <v>3</v>
      </c>
      <c r="B4" s="27" t="s">
        <v>51</v>
      </c>
      <c r="C4" s="26" t="s">
        <v>147</v>
      </c>
      <c r="D4" s="26"/>
    </row>
    <row r="5" spans="1:4" s="28" customFormat="1" ht="18" customHeight="1" x14ac:dyDescent="0.3">
      <c r="A5" s="25">
        <f t="shared" si="0"/>
        <v>4</v>
      </c>
      <c r="B5" s="27" t="s">
        <v>58</v>
      </c>
      <c r="C5" s="26" t="s">
        <v>148</v>
      </c>
      <c r="D5" s="26"/>
    </row>
    <row r="6" spans="1:4" s="28" customFormat="1" ht="18" customHeight="1" x14ac:dyDescent="0.3">
      <c r="A6" s="25">
        <f t="shared" si="0"/>
        <v>5</v>
      </c>
      <c r="B6" s="27" t="s">
        <v>64</v>
      </c>
      <c r="C6" s="26" t="s">
        <v>149</v>
      </c>
      <c r="D6" s="26"/>
    </row>
    <row r="7" spans="1:4" s="28" customFormat="1" ht="18" customHeight="1" x14ac:dyDescent="0.3">
      <c r="A7" s="25">
        <f t="shared" si="0"/>
        <v>6</v>
      </c>
      <c r="B7" s="27" t="s">
        <v>68</v>
      </c>
      <c r="C7" s="26" t="s">
        <v>150</v>
      </c>
      <c r="D7" s="26"/>
    </row>
    <row r="8" spans="1:4" s="28" customFormat="1" ht="18" customHeight="1" x14ac:dyDescent="0.3">
      <c r="A8" s="25">
        <f t="shared" si="0"/>
        <v>7</v>
      </c>
      <c r="B8" s="27" t="s">
        <v>91</v>
      </c>
      <c r="C8" s="26" t="s">
        <v>151</v>
      </c>
      <c r="D8" s="26"/>
    </row>
    <row r="9" spans="1:4" s="28" customFormat="1" ht="18" customHeight="1" x14ac:dyDescent="0.3">
      <c r="A9" s="25">
        <f t="shared" si="0"/>
        <v>8</v>
      </c>
      <c r="B9" s="27" t="s">
        <v>93</v>
      </c>
      <c r="C9" s="26" t="s">
        <v>152</v>
      </c>
      <c r="D9" s="26"/>
    </row>
    <row r="10" spans="1:4" s="28" customFormat="1" ht="18" customHeight="1" x14ac:dyDescent="0.3">
      <c r="A10" s="25">
        <f t="shared" si="0"/>
        <v>9</v>
      </c>
      <c r="B10" s="27" t="s">
        <v>100</v>
      </c>
      <c r="C10" s="26" t="s">
        <v>153</v>
      </c>
      <c r="D10" s="26"/>
    </row>
    <row r="11" spans="1:4" s="28" customFormat="1" ht="18" customHeight="1" x14ac:dyDescent="0.3">
      <c r="A11" s="25">
        <f t="shared" si="0"/>
        <v>10</v>
      </c>
      <c r="B11" s="27" t="s">
        <v>161</v>
      </c>
      <c r="C11" s="26" t="s">
        <v>154</v>
      </c>
      <c r="D11" s="26"/>
    </row>
    <row r="12" spans="1:4" s="28" customFormat="1" ht="18" customHeight="1" x14ac:dyDescent="0.3">
      <c r="A12" s="25">
        <f t="shared" si="0"/>
        <v>11</v>
      </c>
      <c r="B12" s="27" t="s">
        <v>156</v>
      </c>
      <c r="C12" s="26" t="s">
        <v>155</v>
      </c>
      <c r="D12" s="26"/>
    </row>
    <row r="13" spans="1:4" s="28" customFormat="1" ht="18" customHeight="1" x14ac:dyDescent="0.3">
      <c r="A13" s="25">
        <f t="shared" si="0"/>
        <v>12</v>
      </c>
      <c r="B13" s="29" t="s">
        <v>227</v>
      </c>
      <c r="C13" s="26" t="s">
        <v>157</v>
      </c>
      <c r="D13" s="26"/>
    </row>
    <row r="14" spans="1:4" s="28" customFormat="1" ht="18" customHeight="1" x14ac:dyDescent="0.3">
      <c r="A14" s="25">
        <f t="shared" si="0"/>
        <v>13</v>
      </c>
      <c r="B14" s="29" t="s">
        <v>224</v>
      </c>
      <c r="C14" s="26" t="s">
        <v>221</v>
      </c>
      <c r="D14" s="26"/>
    </row>
    <row r="15" spans="1:4" s="28" customFormat="1" ht="18" customHeight="1" x14ac:dyDescent="0.3">
      <c r="A15" s="25">
        <f t="shared" si="0"/>
        <v>14</v>
      </c>
      <c r="B15" s="29" t="s">
        <v>225</v>
      </c>
      <c r="C15" s="26" t="s">
        <v>222</v>
      </c>
      <c r="D15" s="26"/>
    </row>
    <row r="16" spans="1:4" s="28" customFormat="1" ht="18" customHeight="1" x14ac:dyDescent="0.3">
      <c r="A16" s="25">
        <f t="shared" si="0"/>
        <v>15</v>
      </c>
      <c r="B16" s="29" t="s">
        <v>226</v>
      </c>
      <c r="C16" s="26" t="s">
        <v>223</v>
      </c>
      <c r="D16" s="26"/>
    </row>
    <row r="77" spans="2:2" ht="18" customHeight="1" x14ac:dyDescent="0.3">
      <c r="B77" s="22" ph="1"/>
    </row>
    <row r="78" spans="2:2" ht="18" customHeight="1" x14ac:dyDescent="0.3">
      <c r="B78" s="22" ph="1"/>
    </row>
    <row r="79" spans="2:2" ht="18" customHeight="1" x14ac:dyDescent="0.3">
      <c r="B79" s="22" ph="1"/>
    </row>
    <row r="80" spans="2:2" ht="18" customHeight="1" x14ac:dyDescent="0.3">
      <c r="B80" s="22" ph="1"/>
    </row>
    <row r="81" spans="2:2" ht="18" customHeight="1" x14ac:dyDescent="0.3">
      <c r="B81" s="22" ph="1"/>
    </row>
    <row r="82" spans="2:2" ht="18" customHeight="1" x14ac:dyDescent="0.3">
      <c r="B82" s="22" ph="1"/>
    </row>
    <row r="83" spans="2:2" ht="18" customHeight="1" x14ac:dyDescent="0.3">
      <c r="B83" s="22" ph="1"/>
    </row>
    <row r="84" spans="2:2" ht="18" customHeight="1" x14ac:dyDescent="0.3">
      <c r="B84" s="22" ph="1"/>
    </row>
    <row r="85" spans="2:2" ht="18" customHeight="1" x14ac:dyDescent="0.3">
      <c r="B85" s="22" ph="1"/>
    </row>
    <row r="86" spans="2:2" ht="18" customHeight="1" x14ac:dyDescent="0.3">
      <c r="B86" s="22" ph="1"/>
    </row>
    <row r="87" spans="2:2" ht="18" customHeight="1" x14ac:dyDescent="0.3">
      <c r="B87" s="22" ph="1"/>
    </row>
    <row r="88" spans="2:2" ht="18" customHeight="1" x14ac:dyDescent="0.3">
      <c r="B88" s="22" ph="1"/>
    </row>
    <row r="89" spans="2:2" ht="18" customHeight="1" x14ac:dyDescent="0.3">
      <c r="B89" s="22" ph="1"/>
    </row>
    <row r="90" spans="2:2" ht="18" customHeight="1" x14ac:dyDescent="0.3">
      <c r="B90" s="22" ph="1"/>
    </row>
    <row r="91" spans="2:2" ht="18" customHeight="1" x14ac:dyDescent="0.3">
      <c r="B91" s="22" ph="1"/>
    </row>
    <row r="92" spans="2:2" ht="18" customHeight="1" x14ac:dyDescent="0.3">
      <c r="B92" s="22" ph="1"/>
    </row>
    <row r="93" spans="2:2" ht="18" customHeight="1" x14ac:dyDescent="0.3">
      <c r="B93" s="22" ph="1"/>
    </row>
    <row r="94" spans="2:2" ht="18" customHeight="1" x14ac:dyDescent="0.3">
      <c r="B94" s="22" ph="1"/>
    </row>
    <row r="97" spans="2:2" ht="18" customHeight="1" x14ac:dyDescent="0.3">
      <c r="B97" s="22" ph="1"/>
    </row>
    <row r="98" spans="2:2" ht="18" customHeight="1" x14ac:dyDescent="0.3">
      <c r="B98" s="22" ph="1"/>
    </row>
    <row r="99" spans="2:2" ht="18" customHeight="1" x14ac:dyDescent="0.3">
      <c r="B99" s="22" ph="1"/>
    </row>
    <row r="100" spans="2:2" ht="18" customHeight="1" x14ac:dyDescent="0.3">
      <c r="B100" s="22" ph="1"/>
    </row>
    <row r="101" spans="2:2" ht="18" customHeight="1" x14ac:dyDescent="0.3">
      <c r="B101" s="22" ph="1"/>
    </row>
    <row r="102" spans="2:2" ht="18" customHeight="1" x14ac:dyDescent="0.3">
      <c r="B102" s="22" ph="1"/>
    </row>
    <row r="103" spans="2:2" ht="18" customHeight="1" x14ac:dyDescent="0.3">
      <c r="B103" s="22" ph="1"/>
    </row>
    <row r="104" spans="2:2" ht="18" customHeight="1" x14ac:dyDescent="0.3">
      <c r="B104" s="22" ph="1"/>
    </row>
    <row r="105" spans="2:2" ht="18" customHeight="1" x14ac:dyDescent="0.3">
      <c r="B105" s="22" ph="1"/>
    </row>
    <row r="106" spans="2:2" ht="18" customHeight="1" x14ac:dyDescent="0.3">
      <c r="B106" s="22" ph="1"/>
    </row>
  </sheetData>
  <autoFilter ref="B1:C13"/>
  <phoneticPr fontId="5" type="noConversion"/>
  <hyperlinks>
    <hyperlink ref="B2" location="系统用户表!A1" display="SYS_USER"/>
    <hyperlink ref="B3" location="系统用户组表!A1" display="SYS_USER_GROUP"/>
    <hyperlink ref="B4" location="系统分组表!A1" display="SYS_GROUP"/>
    <hyperlink ref="B5" location="系统角色表!A1" display="SYS_ROLE"/>
    <hyperlink ref="B6" location="系统组角色表!A1" display="SYS_GROUP_ROLE"/>
    <hyperlink ref="B7" location="系统资源表!A1" display="SYS_RESOURCE"/>
    <hyperlink ref="B8" location="系统角色资源表!A1" display="SYS_ROLE_RESOURCE"/>
    <hyperlink ref="B9" location="系统设定表!A1" display="SYS_SETTING"/>
    <hyperlink ref="B10" location="字典表!A1" display="SYS_CODE"/>
    <hyperlink ref="B11" location="数据备份表!A1" display="SYS_BACKUP"/>
    <hyperlink ref="B12" location="菜单样式表!A1" display="SYS_ICON_CLASS"/>
    <hyperlink ref="B13" location="产线表!A1" display="BAS_PRODLINE"/>
    <hyperlink ref="B14" location="机种表!A1" display="BAS_PRODLINE"/>
    <hyperlink ref="B15" location="生产计划表!A1" display="BAS_PRODLINE"/>
    <hyperlink ref="B16" location="计划产量表!A1" display="BAS_PRODLINE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5"/>
  <sheetViews>
    <sheetView workbookViewId="0">
      <selection activeCell="C22" sqref="C22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0" t="s">
        <v>143</v>
      </c>
      <c r="B1" s="31"/>
      <c r="C1" s="31"/>
      <c r="D1" s="31"/>
      <c r="E1" s="31"/>
      <c r="F1" s="31"/>
      <c r="G1" s="31"/>
      <c r="H1" s="31"/>
      <c r="I1" s="32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15" si="0">ROW()-2</f>
        <v>1</v>
      </c>
      <c r="B3" s="9" t="s">
        <v>13</v>
      </c>
      <c r="C3" s="9"/>
      <c r="D3" s="9" t="s">
        <v>14</v>
      </c>
      <c r="E3" s="9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16</v>
      </c>
      <c r="C4" s="9" t="s">
        <v>17</v>
      </c>
      <c r="D4" s="9" t="s">
        <v>18</v>
      </c>
      <c r="E4" s="9">
        <v>20</v>
      </c>
      <c r="F4" s="10"/>
      <c r="G4" s="10" t="s">
        <v>15</v>
      </c>
      <c r="H4" s="9"/>
      <c r="I4" s="9"/>
    </row>
    <row r="5" spans="1:11" ht="16.5" x14ac:dyDescent="0.3">
      <c r="A5" s="8">
        <f t="shared" si="0"/>
        <v>3</v>
      </c>
      <c r="B5" s="9" t="s">
        <v>19</v>
      </c>
      <c r="C5" s="6" t="s">
        <v>20</v>
      </c>
      <c r="D5" s="9" t="s">
        <v>21</v>
      </c>
      <c r="E5" s="9">
        <v>32</v>
      </c>
      <c r="F5" s="10"/>
      <c r="G5" s="10" t="s">
        <v>15</v>
      </c>
      <c r="H5" s="9"/>
      <c r="I5" s="9" t="s">
        <v>22</v>
      </c>
    </row>
    <row r="6" spans="1:11" ht="16.5" x14ac:dyDescent="0.3">
      <c r="A6" s="8">
        <f t="shared" si="0"/>
        <v>4</v>
      </c>
      <c r="B6" s="9" t="s">
        <v>23</v>
      </c>
      <c r="C6" s="9" t="s">
        <v>24</v>
      </c>
      <c r="D6" s="9" t="s">
        <v>18</v>
      </c>
      <c r="E6" s="9">
        <v>20</v>
      </c>
      <c r="F6" s="10"/>
      <c r="G6" s="10"/>
      <c r="H6" s="9"/>
      <c r="I6" s="9"/>
    </row>
    <row r="7" spans="1:11" ht="18" customHeight="1" x14ac:dyDescent="0.3">
      <c r="A7" s="8">
        <f t="shared" si="0"/>
        <v>5</v>
      </c>
      <c r="B7" s="9" t="s">
        <v>25</v>
      </c>
      <c r="C7" s="6" t="s">
        <v>26</v>
      </c>
      <c r="D7" s="9" t="s">
        <v>18</v>
      </c>
      <c r="E7" s="9">
        <v>20</v>
      </c>
      <c r="F7" s="10"/>
      <c r="G7" s="10"/>
      <c r="H7" s="9"/>
      <c r="I7" s="9"/>
    </row>
    <row r="8" spans="1:11" ht="18" customHeight="1" x14ac:dyDescent="0.3">
      <c r="A8" s="8">
        <f t="shared" si="0"/>
        <v>6</v>
      </c>
      <c r="B8" s="9" t="s">
        <v>27</v>
      </c>
      <c r="C8" s="9" t="s">
        <v>28</v>
      </c>
      <c r="D8" s="9" t="s">
        <v>14</v>
      </c>
      <c r="E8" s="9">
        <v>1</v>
      </c>
      <c r="F8" s="10"/>
      <c r="G8" s="10" t="s">
        <v>15</v>
      </c>
      <c r="H8" s="9">
        <v>1</v>
      </c>
      <c r="I8" s="9" t="s">
        <v>29</v>
      </c>
    </row>
    <row r="9" spans="1:11" ht="18" customHeight="1" x14ac:dyDescent="0.3">
      <c r="A9" s="8">
        <f t="shared" si="0"/>
        <v>7</v>
      </c>
      <c r="B9" s="9" t="s">
        <v>30</v>
      </c>
      <c r="C9" s="9" t="s">
        <v>31</v>
      </c>
      <c r="D9" s="9" t="s">
        <v>18</v>
      </c>
      <c r="E9" s="9">
        <v>16</v>
      </c>
      <c r="F9" s="10"/>
      <c r="G9" s="10"/>
      <c r="H9" s="9"/>
      <c r="I9" s="9"/>
    </row>
    <row r="10" spans="1:11" ht="18" customHeight="1" x14ac:dyDescent="0.3">
      <c r="A10" s="8">
        <f t="shared" si="0"/>
        <v>8</v>
      </c>
      <c r="B10" s="9" t="s">
        <v>32</v>
      </c>
      <c r="C10" s="9" t="s">
        <v>33</v>
      </c>
      <c r="D10" s="9" t="s">
        <v>18</v>
      </c>
      <c r="E10" s="9">
        <v>16</v>
      </c>
      <c r="F10" s="10"/>
      <c r="G10" s="10"/>
      <c r="H10" s="9"/>
      <c r="I10" s="9"/>
    </row>
    <row r="11" spans="1:11" ht="18" customHeight="1" x14ac:dyDescent="0.3">
      <c r="A11" s="8">
        <f t="shared" si="0"/>
        <v>9</v>
      </c>
      <c r="B11" s="11" t="s">
        <v>34</v>
      </c>
      <c r="C11" s="9" t="s">
        <v>35</v>
      </c>
      <c r="D11" s="9" t="s">
        <v>18</v>
      </c>
      <c r="E11" s="9">
        <v>50</v>
      </c>
      <c r="F11" s="10"/>
      <c r="G11" s="10"/>
      <c r="H11" s="9"/>
      <c r="I11" s="9"/>
    </row>
    <row r="12" spans="1:11" ht="18" customHeight="1" x14ac:dyDescent="0.3">
      <c r="A12" s="8">
        <f t="shared" si="0"/>
        <v>10</v>
      </c>
      <c r="B12" s="9" t="s">
        <v>36</v>
      </c>
      <c r="C12" s="9" t="s">
        <v>12</v>
      </c>
      <c r="D12" s="9" t="s">
        <v>18</v>
      </c>
      <c r="E12" s="9">
        <v>200</v>
      </c>
      <c r="F12" s="9"/>
      <c r="G12" s="9"/>
      <c r="H12" s="9"/>
      <c r="I12" s="9"/>
    </row>
    <row r="13" spans="1:11" ht="18" customHeight="1" x14ac:dyDescent="0.3">
      <c r="A13" s="8">
        <f t="shared" si="0"/>
        <v>11</v>
      </c>
      <c r="B13" s="9" t="s">
        <v>37</v>
      </c>
      <c r="C13" s="9" t="s">
        <v>38</v>
      </c>
      <c r="D13" s="9" t="s">
        <v>14</v>
      </c>
      <c r="E13" s="9">
        <v>1</v>
      </c>
      <c r="F13" s="9"/>
      <c r="G13" s="10" t="s">
        <v>15</v>
      </c>
      <c r="H13" s="9">
        <v>0</v>
      </c>
      <c r="I13" s="9" t="s">
        <v>39</v>
      </c>
    </row>
    <row r="14" spans="1:11" ht="33" x14ac:dyDescent="0.3">
      <c r="A14" s="8">
        <f t="shared" si="0"/>
        <v>12</v>
      </c>
      <c r="B14" s="9" t="s">
        <v>40</v>
      </c>
      <c r="C14" s="9" t="s">
        <v>41</v>
      </c>
      <c r="D14" s="9" t="s">
        <v>14</v>
      </c>
      <c r="E14" s="9">
        <v>1</v>
      </c>
      <c r="F14" s="10"/>
      <c r="G14" s="10" t="s">
        <v>15</v>
      </c>
      <c r="H14" s="9">
        <v>0</v>
      </c>
      <c r="I14" s="12" t="s">
        <v>42</v>
      </c>
    </row>
    <row r="15" spans="1:11" ht="66" x14ac:dyDescent="0.3">
      <c r="A15" s="8">
        <f t="shared" si="0"/>
        <v>13</v>
      </c>
      <c r="B15" s="13" t="s">
        <v>43</v>
      </c>
      <c r="C15" s="13" t="s">
        <v>44</v>
      </c>
      <c r="D15" s="13" t="s">
        <v>14</v>
      </c>
      <c r="E15" s="13"/>
      <c r="F15" s="8"/>
      <c r="G15" s="8" t="s">
        <v>15</v>
      </c>
      <c r="H15" s="13">
        <v>15</v>
      </c>
      <c r="I15" s="12" t="s">
        <v>45</v>
      </c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5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46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5" si="0">ROW()-2</f>
        <v>1</v>
      </c>
      <c r="B3" s="9" t="s">
        <v>13</v>
      </c>
      <c r="C3" s="9"/>
      <c r="D3" s="9" t="s">
        <v>14</v>
      </c>
      <c r="E3" s="9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47</v>
      </c>
      <c r="C4" s="9" t="s">
        <v>48</v>
      </c>
      <c r="D4" s="9" t="s">
        <v>14</v>
      </c>
      <c r="E4" s="9"/>
      <c r="F4" s="10"/>
      <c r="G4" s="10" t="s">
        <v>15</v>
      </c>
      <c r="H4" s="9"/>
      <c r="I4" s="9"/>
    </row>
    <row r="5" spans="1:11" ht="16.5" x14ac:dyDescent="0.3">
      <c r="A5" s="8">
        <f t="shared" si="0"/>
        <v>3</v>
      </c>
      <c r="B5" s="9" t="s">
        <v>49</v>
      </c>
      <c r="C5" s="9" t="s">
        <v>50</v>
      </c>
      <c r="D5" s="9" t="s">
        <v>14</v>
      </c>
      <c r="E5" s="9"/>
      <c r="F5" s="10"/>
      <c r="G5" s="10" t="s">
        <v>15</v>
      </c>
      <c r="H5" s="9"/>
      <c r="I5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6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51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6" si="0">ROW()-2</f>
        <v>1</v>
      </c>
      <c r="B3" s="9" t="s">
        <v>13</v>
      </c>
      <c r="C3" s="9"/>
      <c r="D3" s="9" t="s">
        <v>14</v>
      </c>
      <c r="E3" s="9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52</v>
      </c>
      <c r="C4" s="9" t="s">
        <v>53</v>
      </c>
      <c r="D4" s="9" t="s">
        <v>18</v>
      </c>
      <c r="E4" s="9">
        <v>10</v>
      </c>
      <c r="F4" s="10"/>
      <c r="G4" s="10" t="s">
        <v>15</v>
      </c>
      <c r="H4" s="9"/>
      <c r="I4" s="9"/>
    </row>
    <row r="5" spans="1:11" ht="16.5" x14ac:dyDescent="0.3">
      <c r="A5" s="8">
        <f t="shared" si="0"/>
        <v>3</v>
      </c>
      <c r="B5" s="9" t="s">
        <v>54</v>
      </c>
      <c r="C5" s="9" t="s">
        <v>55</v>
      </c>
      <c r="D5" s="9" t="s">
        <v>18</v>
      </c>
      <c r="E5" s="9">
        <v>30</v>
      </c>
      <c r="F5" s="10"/>
      <c r="G5" s="10" t="s">
        <v>15</v>
      </c>
      <c r="H5" s="9"/>
      <c r="I5" s="9"/>
    </row>
    <row r="6" spans="1:11" ht="18" customHeight="1" x14ac:dyDescent="0.3">
      <c r="A6" s="8">
        <f t="shared" si="0"/>
        <v>4</v>
      </c>
      <c r="B6" s="9" t="s">
        <v>56</v>
      </c>
      <c r="C6" s="9" t="s">
        <v>57</v>
      </c>
      <c r="D6" s="9" t="s">
        <v>18</v>
      </c>
      <c r="E6" s="9">
        <v>100</v>
      </c>
      <c r="F6" s="9"/>
      <c r="G6" s="9"/>
      <c r="H6" s="9"/>
      <c r="I6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6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58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6" si="0">ROW()-2</f>
        <v>1</v>
      </c>
      <c r="B3" s="9" t="s">
        <v>13</v>
      </c>
      <c r="C3" s="9"/>
      <c r="D3" s="9" t="s">
        <v>14</v>
      </c>
      <c r="E3" s="9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59</v>
      </c>
      <c r="C4" s="9" t="s">
        <v>60</v>
      </c>
      <c r="D4" s="9" t="s">
        <v>18</v>
      </c>
      <c r="E4" s="9">
        <v>10</v>
      </c>
      <c r="F4" s="10"/>
      <c r="G4" s="10" t="s">
        <v>15</v>
      </c>
      <c r="H4" s="9"/>
      <c r="I4" s="9"/>
    </row>
    <row r="5" spans="1:11" ht="16.5" x14ac:dyDescent="0.3">
      <c r="A5" s="8">
        <f t="shared" si="0"/>
        <v>3</v>
      </c>
      <c r="B5" s="9" t="s">
        <v>61</v>
      </c>
      <c r="C5" s="9" t="s">
        <v>62</v>
      </c>
      <c r="D5" s="9" t="s">
        <v>18</v>
      </c>
      <c r="E5" s="9">
        <v>30</v>
      </c>
      <c r="F5" s="10"/>
      <c r="G5" s="10" t="s">
        <v>15</v>
      </c>
      <c r="H5" s="9"/>
      <c r="I5" s="9"/>
    </row>
    <row r="6" spans="1:11" ht="18" customHeight="1" x14ac:dyDescent="0.3">
      <c r="A6" s="8">
        <f t="shared" si="0"/>
        <v>4</v>
      </c>
      <c r="B6" s="9" t="s">
        <v>56</v>
      </c>
      <c r="C6" s="9" t="s">
        <v>63</v>
      </c>
      <c r="D6" s="9" t="s">
        <v>18</v>
      </c>
      <c r="E6" s="9">
        <v>100</v>
      </c>
      <c r="F6" s="10"/>
      <c r="G6" s="10"/>
      <c r="H6" s="9"/>
      <c r="I6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5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64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5" si="0">ROW()-2</f>
        <v>1</v>
      </c>
      <c r="B3" s="9" t="s">
        <v>13</v>
      </c>
      <c r="C3" s="9"/>
      <c r="D3" s="9" t="s">
        <v>14</v>
      </c>
      <c r="E3" s="9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49</v>
      </c>
      <c r="C4" s="9" t="s">
        <v>65</v>
      </c>
      <c r="D4" s="9" t="s">
        <v>14</v>
      </c>
      <c r="E4" s="9">
        <v>11</v>
      </c>
      <c r="F4" s="10"/>
      <c r="G4" s="10" t="s">
        <v>15</v>
      </c>
      <c r="H4" s="9"/>
      <c r="I4" s="9"/>
    </row>
    <row r="5" spans="1:11" ht="16.5" x14ac:dyDescent="0.3">
      <c r="A5" s="8">
        <f t="shared" si="0"/>
        <v>3</v>
      </c>
      <c r="B5" s="9" t="s">
        <v>66</v>
      </c>
      <c r="C5" s="9" t="s">
        <v>67</v>
      </c>
      <c r="D5" s="9" t="s">
        <v>14</v>
      </c>
      <c r="E5" s="9">
        <v>11</v>
      </c>
      <c r="F5" s="10"/>
      <c r="G5" s="10" t="s">
        <v>15</v>
      </c>
      <c r="H5" s="9"/>
      <c r="I5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2"/>
  <sheetViews>
    <sheetView workbookViewId="0">
      <selection activeCell="A9" sqref="A9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68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12" si="0">ROW()-2</f>
        <v>1</v>
      </c>
      <c r="B3" s="9" t="s">
        <v>13</v>
      </c>
      <c r="C3" s="9" t="s">
        <v>69</v>
      </c>
      <c r="D3" s="9" t="s">
        <v>14</v>
      </c>
      <c r="E3" s="9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70</v>
      </c>
      <c r="C4" s="9" t="s">
        <v>71</v>
      </c>
      <c r="D4" s="9" t="s">
        <v>18</v>
      </c>
      <c r="E4" s="9">
        <v>10</v>
      </c>
      <c r="F4" s="10"/>
      <c r="G4" s="10" t="s">
        <v>15</v>
      </c>
      <c r="H4" s="9"/>
      <c r="I4" s="14"/>
    </row>
    <row r="5" spans="1:11" ht="16.5" x14ac:dyDescent="0.3">
      <c r="A5" s="8">
        <f t="shared" si="0"/>
        <v>3</v>
      </c>
      <c r="B5" s="9" t="s">
        <v>72</v>
      </c>
      <c r="C5" s="9" t="s">
        <v>73</v>
      </c>
      <c r="D5" s="9" t="s">
        <v>14</v>
      </c>
      <c r="E5" s="9"/>
      <c r="F5" s="10"/>
      <c r="G5" s="10"/>
      <c r="H5" s="9"/>
      <c r="I5" s="9"/>
    </row>
    <row r="6" spans="1:11" ht="18" customHeight="1" x14ac:dyDescent="0.3">
      <c r="A6" s="8">
        <f t="shared" si="0"/>
        <v>4</v>
      </c>
      <c r="B6" s="9" t="s">
        <v>74</v>
      </c>
      <c r="C6" s="9" t="s">
        <v>75</v>
      </c>
      <c r="D6" s="9" t="s">
        <v>18</v>
      </c>
      <c r="E6" s="9">
        <v>50</v>
      </c>
      <c r="F6" s="9"/>
      <c r="G6" s="10" t="s">
        <v>15</v>
      </c>
      <c r="H6" s="9"/>
      <c r="I6" s="9"/>
    </row>
    <row r="7" spans="1:11" ht="18" customHeight="1" x14ac:dyDescent="0.3">
      <c r="A7" s="8">
        <f t="shared" si="0"/>
        <v>5</v>
      </c>
      <c r="B7" s="9" t="s">
        <v>76</v>
      </c>
      <c r="C7" s="9" t="s">
        <v>77</v>
      </c>
      <c r="D7" s="9" t="s">
        <v>18</v>
      </c>
      <c r="E7" s="9">
        <v>100</v>
      </c>
      <c r="F7" s="9"/>
      <c r="G7" s="9"/>
      <c r="H7" s="9"/>
      <c r="I7" s="9"/>
    </row>
    <row r="8" spans="1:11" ht="18" customHeight="1" x14ac:dyDescent="0.3">
      <c r="A8" s="8">
        <f t="shared" si="0"/>
        <v>6</v>
      </c>
      <c r="B8" s="13" t="s">
        <v>78</v>
      </c>
      <c r="C8" s="13" t="s">
        <v>79</v>
      </c>
      <c r="D8" s="13" t="s">
        <v>14</v>
      </c>
      <c r="E8" s="13">
        <v>1</v>
      </c>
      <c r="F8" s="13"/>
      <c r="G8" s="8" t="s">
        <v>15</v>
      </c>
      <c r="H8" s="8">
        <v>1</v>
      </c>
      <c r="I8" s="15" t="s">
        <v>80</v>
      </c>
    </row>
    <row r="9" spans="1:11" ht="18" customHeight="1" x14ac:dyDescent="0.3">
      <c r="A9" s="8">
        <f t="shared" si="0"/>
        <v>7</v>
      </c>
      <c r="B9" s="9" t="s">
        <v>81</v>
      </c>
      <c r="C9" s="9" t="s">
        <v>82</v>
      </c>
      <c r="D9" s="9" t="s">
        <v>18</v>
      </c>
      <c r="E9" s="9">
        <v>50</v>
      </c>
      <c r="F9" s="9"/>
      <c r="G9" s="9"/>
      <c r="H9" s="9"/>
      <c r="I9" s="9"/>
    </row>
    <row r="10" spans="1:11" ht="18" customHeight="1" x14ac:dyDescent="0.3">
      <c r="A10" s="8">
        <f t="shared" si="0"/>
        <v>8</v>
      </c>
      <c r="B10" s="9" t="s">
        <v>83</v>
      </c>
      <c r="C10" s="9" t="s">
        <v>84</v>
      </c>
      <c r="D10" s="9" t="s">
        <v>14</v>
      </c>
      <c r="E10" s="9">
        <v>2</v>
      </c>
      <c r="F10" s="9"/>
      <c r="G10" s="9"/>
      <c r="H10" s="9"/>
      <c r="I10" s="9"/>
    </row>
    <row r="11" spans="1:11" ht="52.5" customHeight="1" x14ac:dyDescent="0.3">
      <c r="A11" s="8">
        <f t="shared" si="0"/>
        <v>9</v>
      </c>
      <c r="B11" s="13" t="s">
        <v>85</v>
      </c>
      <c r="C11" s="13" t="s">
        <v>86</v>
      </c>
      <c r="D11" s="13" t="s">
        <v>14</v>
      </c>
      <c r="E11" s="13">
        <v>1</v>
      </c>
      <c r="F11" s="13"/>
      <c r="G11" s="8"/>
      <c r="H11" s="8"/>
      <c r="I11" s="12" t="s">
        <v>87</v>
      </c>
    </row>
    <row r="12" spans="1:11" ht="18" customHeight="1" x14ac:dyDescent="0.3">
      <c r="A12" s="8">
        <f t="shared" si="0"/>
        <v>10</v>
      </c>
      <c r="B12" s="13" t="s">
        <v>88</v>
      </c>
      <c r="C12" s="13" t="s">
        <v>89</v>
      </c>
      <c r="D12" s="13" t="s">
        <v>14</v>
      </c>
      <c r="E12" s="13">
        <v>1</v>
      </c>
      <c r="F12" s="13"/>
      <c r="G12" s="8" t="s">
        <v>15</v>
      </c>
      <c r="H12" s="8">
        <v>1</v>
      </c>
      <c r="I12" s="12" t="s">
        <v>90</v>
      </c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5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91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5" si="0">ROW()-2</f>
        <v>1</v>
      </c>
      <c r="B3" s="9" t="s">
        <v>13</v>
      </c>
      <c r="C3" s="9"/>
      <c r="D3" s="9" t="s">
        <v>14</v>
      </c>
      <c r="E3" s="9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66</v>
      </c>
      <c r="C4" s="9" t="s">
        <v>67</v>
      </c>
      <c r="D4" s="9" t="s">
        <v>14</v>
      </c>
      <c r="E4" s="9">
        <v>11</v>
      </c>
      <c r="F4" s="10"/>
      <c r="G4" s="10" t="s">
        <v>15</v>
      </c>
      <c r="H4" s="9"/>
      <c r="I4" s="14"/>
    </row>
    <row r="5" spans="1:11" ht="16.5" x14ac:dyDescent="0.3">
      <c r="A5" s="8">
        <f t="shared" si="0"/>
        <v>3</v>
      </c>
      <c r="B5" s="9" t="s">
        <v>92</v>
      </c>
      <c r="C5" s="9" t="s">
        <v>69</v>
      </c>
      <c r="D5" s="9" t="s">
        <v>14</v>
      </c>
      <c r="E5" s="9">
        <v>11</v>
      </c>
      <c r="F5" s="10"/>
      <c r="G5" s="10"/>
      <c r="H5" s="9"/>
      <c r="I5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5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93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5" si="0">ROW()-2</f>
        <v>1</v>
      </c>
      <c r="B3" s="9" t="s">
        <v>94</v>
      </c>
      <c r="C3" s="9" t="s">
        <v>95</v>
      </c>
      <c r="D3" s="9" t="s">
        <v>14</v>
      </c>
      <c r="E3" s="9">
        <v>30</v>
      </c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96</v>
      </c>
      <c r="C4" s="9" t="s">
        <v>97</v>
      </c>
      <c r="D4" s="9" t="s">
        <v>18</v>
      </c>
      <c r="E4" s="9">
        <v>100</v>
      </c>
      <c r="F4" s="10"/>
      <c r="G4" s="10" t="s">
        <v>15</v>
      </c>
      <c r="H4" s="9"/>
      <c r="I4" s="14"/>
    </row>
    <row r="5" spans="1:11" ht="16.5" x14ac:dyDescent="0.3">
      <c r="A5" s="8">
        <f t="shared" si="0"/>
        <v>3</v>
      </c>
      <c r="B5" s="9" t="s">
        <v>98</v>
      </c>
      <c r="C5" s="9" t="s">
        <v>99</v>
      </c>
      <c r="D5" s="9" t="s">
        <v>18</v>
      </c>
      <c r="E5" s="9">
        <v>100</v>
      </c>
      <c r="F5" s="10"/>
      <c r="G5" s="10"/>
      <c r="H5" s="9"/>
      <c r="I5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9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159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9" si="0">ROW()-2</f>
        <v>1</v>
      </c>
      <c r="B3" s="16" t="s">
        <v>13</v>
      </c>
      <c r="C3" s="17"/>
      <c r="D3" s="16" t="s">
        <v>14</v>
      </c>
      <c r="E3" s="18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160</v>
      </c>
      <c r="C4" s="9" t="s">
        <v>101</v>
      </c>
      <c r="D4" s="9" t="s">
        <v>18</v>
      </c>
      <c r="E4" s="9">
        <v>30</v>
      </c>
      <c r="F4" s="10"/>
      <c r="G4" s="10" t="s">
        <v>15</v>
      </c>
      <c r="H4" s="9"/>
      <c r="I4" s="14"/>
    </row>
    <row r="5" spans="1:11" ht="16.5" x14ac:dyDescent="0.3">
      <c r="A5" s="8">
        <f t="shared" si="0"/>
        <v>3</v>
      </c>
      <c r="B5" s="9" t="s">
        <v>54</v>
      </c>
      <c r="C5" s="9" t="s">
        <v>102</v>
      </c>
      <c r="D5" s="9" t="s">
        <v>18</v>
      </c>
      <c r="E5" s="9">
        <v>60</v>
      </c>
      <c r="F5" s="10"/>
      <c r="G5" s="10"/>
      <c r="H5" s="9"/>
      <c r="I5" s="9"/>
    </row>
    <row r="6" spans="1:11" ht="18" customHeight="1" x14ac:dyDescent="0.3">
      <c r="A6" s="8">
        <f t="shared" si="0"/>
        <v>4</v>
      </c>
      <c r="B6" s="9" t="s">
        <v>103</v>
      </c>
      <c r="C6" s="9" t="s">
        <v>104</v>
      </c>
      <c r="D6" s="9" t="s">
        <v>18</v>
      </c>
      <c r="E6" s="9">
        <v>30</v>
      </c>
      <c r="F6" s="10"/>
      <c r="G6" s="10"/>
      <c r="H6" s="9"/>
      <c r="I6" s="9"/>
    </row>
    <row r="7" spans="1:11" ht="18" customHeight="1" x14ac:dyDescent="0.3">
      <c r="A7" s="8">
        <f t="shared" si="0"/>
        <v>5</v>
      </c>
      <c r="B7" s="9" t="s">
        <v>105</v>
      </c>
      <c r="C7" s="9" t="s">
        <v>106</v>
      </c>
      <c r="D7" s="9" t="s">
        <v>18</v>
      </c>
      <c r="E7" s="9">
        <v>80</v>
      </c>
      <c r="F7" s="10"/>
      <c r="G7" s="10"/>
      <c r="H7" s="9"/>
      <c r="I7" s="9"/>
    </row>
    <row r="8" spans="1:11" ht="18" customHeight="1" x14ac:dyDescent="0.3">
      <c r="A8" s="8">
        <f t="shared" si="0"/>
        <v>6</v>
      </c>
      <c r="B8" s="9" t="s">
        <v>83</v>
      </c>
      <c r="C8" s="9" t="s">
        <v>107</v>
      </c>
      <c r="D8" s="9" t="s">
        <v>14</v>
      </c>
      <c r="E8" s="9">
        <v>3</v>
      </c>
      <c r="F8" s="10"/>
      <c r="G8" s="10"/>
      <c r="H8" s="9"/>
      <c r="I8" s="9"/>
    </row>
    <row r="9" spans="1:11" ht="18" customHeight="1" x14ac:dyDescent="0.3">
      <c r="A9" s="8">
        <f t="shared" si="0"/>
        <v>7</v>
      </c>
      <c r="B9" s="9" t="s">
        <v>36</v>
      </c>
      <c r="C9" s="9" t="s">
        <v>12</v>
      </c>
      <c r="D9" s="9" t="s">
        <v>18</v>
      </c>
      <c r="E9" s="9">
        <v>120</v>
      </c>
      <c r="F9" s="10"/>
      <c r="G9" s="10"/>
      <c r="H9" s="9"/>
      <c r="I9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8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162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8" si="0">ROW()-2</f>
        <v>1</v>
      </c>
      <c r="B3" s="16" t="s">
        <v>13</v>
      </c>
      <c r="C3" s="17"/>
      <c r="D3" s="16" t="s">
        <v>14</v>
      </c>
      <c r="E3" s="18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109</v>
      </c>
      <c r="C4" s="9" t="s">
        <v>110</v>
      </c>
      <c r="D4" s="9" t="s">
        <v>18</v>
      </c>
      <c r="E4" s="9">
        <v>50</v>
      </c>
      <c r="F4" s="10"/>
      <c r="G4" s="10" t="s">
        <v>15</v>
      </c>
      <c r="H4" s="9"/>
      <c r="I4" s="14"/>
    </row>
    <row r="5" spans="1:11" ht="16.5" x14ac:dyDescent="0.3">
      <c r="A5" s="8">
        <f t="shared" si="0"/>
        <v>3</v>
      </c>
      <c r="B5" s="9" t="s">
        <v>111</v>
      </c>
      <c r="C5" s="9" t="s">
        <v>112</v>
      </c>
      <c r="D5" s="19" t="s">
        <v>113</v>
      </c>
      <c r="E5" s="9" t="s">
        <v>114</v>
      </c>
      <c r="F5" s="10"/>
      <c r="G5" s="10" t="s">
        <v>15</v>
      </c>
      <c r="H5" s="9"/>
      <c r="I5" s="9"/>
    </row>
    <row r="6" spans="1:11" ht="18" customHeight="1" x14ac:dyDescent="0.3">
      <c r="A6" s="8">
        <f t="shared" si="0"/>
        <v>4</v>
      </c>
      <c r="B6" s="9" t="s">
        <v>115</v>
      </c>
      <c r="C6" s="9" t="s">
        <v>108</v>
      </c>
      <c r="D6" s="19" t="s">
        <v>116</v>
      </c>
      <c r="E6" s="9"/>
      <c r="F6" s="10"/>
      <c r="G6" s="10" t="s">
        <v>15</v>
      </c>
      <c r="H6" s="9"/>
      <c r="I6" s="9"/>
    </row>
    <row r="7" spans="1:11" ht="18" customHeight="1" x14ac:dyDescent="0.3">
      <c r="A7" s="8">
        <f t="shared" si="0"/>
        <v>5</v>
      </c>
      <c r="B7" s="9" t="s">
        <v>117</v>
      </c>
      <c r="C7" s="9" t="s">
        <v>118</v>
      </c>
      <c r="D7" s="9" t="s">
        <v>14</v>
      </c>
      <c r="E7" s="9">
        <v>1</v>
      </c>
      <c r="F7" s="10"/>
      <c r="G7" s="10"/>
      <c r="H7" s="9"/>
      <c r="I7" s="9"/>
    </row>
    <row r="8" spans="1:11" ht="18" customHeight="1" x14ac:dyDescent="0.3">
      <c r="A8" s="8">
        <f t="shared" si="0"/>
        <v>6</v>
      </c>
      <c r="B8" s="9" t="s">
        <v>163</v>
      </c>
      <c r="C8" s="9" t="s">
        <v>119</v>
      </c>
      <c r="D8" s="9" t="s">
        <v>14</v>
      </c>
      <c r="E8" s="9"/>
      <c r="F8" s="10"/>
      <c r="G8" s="10"/>
      <c r="H8" s="9"/>
      <c r="I8" s="9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5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2.7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120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 t="shared" ref="A3:A5" si="0">ROW()-2</f>
        <v>1</v>
      </c>
      <c r="B3" s="16" t="s">
        <v>13</v>
      </c>
      <c r="C3" s="17"/>
      <c r="D3" s="16" t="s">
        <v>14</v>
      </c>
      <c r="E3" s="18"/>
      <c r="F3" s="10" t="s">
        <v>15</v>
      </c>
      <c r="G3" s="10" t="s">
        <v>15</v>
      </c>
      <c r="H3" s="9"/>
      <c r="I3" s="9"/>
    </row>
    <row r="4" spans="1:11" ht="16.5" x14ac:dyDescent="0.3">
      <c r="A4" s="8">
        <f t="shared" si="0"/>
        <v>2</v>
      </c>
      <c r="B4" s="9" t="s">
        <v>121</v>
      </c>
      <c r="C4" s="9" t="s">
        <v>122</v>
      </c>
      <c r="D4" s="9" t="s">
        <v>18</v>
      </c>
      <c r="E4" s="9">
        <v>50</v>
      </c>
      <c r="F4" s="10"/>
      <c r="G4" s="10" t="s">
        <v>15</v>
      </c>
      <c r="H4" s="9"/>
      <c r="I4" s="14"/>
    </row>
    <row r="5" spans="1:11" ht="16.5" x14ac:dyDescent="0.3">
      <c r="A5" s="8">
        <f t="shared" si="0"/>
        <v>3</v>
      </c>
      <c r="B5" s="9" t="s">
        <v>123</v>
      </c>
      <c r="C5" s="9" t="s">
        <v>124</v>
      </c>
      <c r="D5" s="9" t="s">
        <v>18</v>
      </c>
      <c r="E5" s="9">
        <v>30</v>
      </c>
      <c r="F5" s="10"/>
      <c r="G5" s="10" t="s">
        <v>15</v>
      </c>
      <c r="H5" s="9"/>
      <c r="I5" s="9"/>
    </row>
  </sheetData>
  <mergeCells count="1">
    <mergeCell ref="A1:I1"/>
  </mergeCells>
  <phoneticPr fontId="5" type="noConversion"/>
  <hyperlinks>
    <hyperlink ref="K1" location="目录!A1" display="返回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K10"/>
  <sheetViews>
    <sheetView tabSelected="1" workbookViewId="0">
      <selection activeCell="I9" sqref="I9"/>
    </sheetView>
  </sheetViews>
  <sheetFormatPr defaultColWidth="9" defaultRowHeight="18" customHeight="1" x14ac:dyDescent="0.3"/>
  <cols>
    <col min="1" max="1" width="9" style="6"/>
    <col min="2" max="2" width="25.12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43.625" style="6" customWidth="1"/>
    <col min="10" max="16384" width="9" style="6"/>
  </cols>
  <sheetData>
    <row r="1" spans="1:11" ht="39" customHeight="1" x14ac:dyDescent="0.3">
      <c r="A1" s="33" t="s">
        <v>131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>ROW()-2</f>
        <v>1</v>
      </c>
      <c r="B3" s="13" t="s">
        <v>13</v>
      </c>
      <c r="C3" s="13" t="s">
        <v>125</v>
      </c>
      <c r="D3" s="13" t="s">
        <v>14</v>
      </c>
      <c r="E3" s="13"/>
      <c r="F3" s="8" t="s">
        <v>15</v>
      </c>
      <c r="G3" s="8" t="s">
        <v>15</v>
      </c>
      <c r="H3" s="13"/>
      <c r="I3" s="13" t="s">
        <v>126</v>
      </c>
    </row>
    <row r="4" spans="1:11" ht="16.5" customHeight="1" x14ac:dyDescent="0.3">
      <c r="A4" s="8">
        <f t="shared" ref="A4:A8" si="0">ROW()-2</f>
        <v>2</v>
      </c>
      <c r="B4" s="13" t="s">
        <v>132</v>
      </c>
      <c r="C4" s="13" t="s">
        <v>133</v>
      </c>
      <c r="D4" s="13" t="s">
        <v>130</v>
      </c>
      <c r="E4" s="13">
        <v>20</v>
      </c>
      <c r="F4" s="8"/>
      <c r="G4" s="8"/>
      <c r="H4" s="13"/>
      <c r="I4" s="13"/>
    </row>
    <row r="5" spans="1:11" ht="18" customHeight="1" x14ac:dyDescent="0.3">
      <c r="A5" s="8">
        <f t="shared" si="0"/>
        <v>3</v>
      </c>
      <c r="B5" s="13" t="s">
        <v>134</v>
      </c>
      <c r="C5" s="13" t="s">
        <v>135</v>
      </c>
      <c r="D5" s="13" t="s">
        <v>18</v>
      </c>
      <c r="E5" s="13">
        <v>60</v>
      </c>
      <c r="F5" s="8"/>
      <c r="G5" s="8" t="s">
        <v>15</v>
      </c>
      <c r="H5" s="13"/>
      <c r="I5" s="13"/>
    </row>
    <row r="6" spans="1:11" ht="18" customHeight="1" x14ac:dyDescent="0.3">
      <c r="A6" s="8">
        <f t="shared" si="0"/>
        <v>4</v>
      </c>
      <c r="B6" s="13" t="s">
        <v>136</v>
      </c>
      <c r="C6" s="13" t="s">
        <v>137</v>
      </c>
      <c r="D6" s="13" t="s">
        <v>18</v>
      </c>
      <c r="E6" s="13">
        <v>30</v>
      </c>
      <c r="F6" s="8"/>
      <c r="G6" s="8"/>
      <c r="H6" s="13"/>
      <c r="I6" s="13"/>
    </row>
    <row r="7" spans="1:11" ht="18" customHeight="1" x14ac:dyDescent="0.3">
      <c r="A7" s="8">
        <f t="shared" si="0"/>
        <v>5</v>
      </c>
      <c r="B7" s="13" t="s">
        <v>250</v>
      </c>
      <c r="C7" s="13" t="s">
        <v>245</v>
      </c>
      <c r="D7" s="13" t="s">
        <v>246</v>
      </c>
      <c r="E7" s="13">
        <v>1</v>
      </c>
      <c r="F7" s="8"/>
      <c r="G7" s="8"/>
      <c r="H7" s="13">
        <v>0</v>
      </c>
      <c r="I7" s="13" t="s">
        <v>247</v>
      </c>
    </row>
    <row r="8" spans="1:11" ht="33" x14ac:dyDescent="0.3">
      <c r="A8" s="8">
        <f t="shared" si="0"/>
        <v>6</v>
      </c>
      <c r="B8" s="13" t="s">
        <v>248</v>
      </c>
      <c r="C8" s="13" t="s">
        <v>249</v>
      </c>
      <c r="D8" s="13" t="s">
        <v>246</v>
      </c>
      <c r="E8" s="13"/>
      <c r="F8" s="8"/>
      <c r="G8" s="8"/>
      <c r="H8" s="13"/>
      <c r="I8" s="20" t="s">
        <v>251</v>
      </c>
    </row>
    <row r="10" spans="1:11" ht="18" customHeight="1" x14ac:dyDescent="0.3">
      <c r="B10" s="6" t="s">
        <v>180</v>
      </c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Pict="0" macro="[0]!create_tabl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6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5.12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53.5" style="6" customWidth="1"/>
    <col min="10" max="16384" width="9" style="6"/>
  </cols>
  <sheetData>
    <row r="1" spans="1:11" ht="39" customHeight="1" x14ac:dyDescent="0.3">
      <c r="A1" s="33" t="s">
        <v>166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>ROW()-2</f>
        <v>1</v>
      </c>
      <c r="B3" s="13" t="s">
        <v>13</v>
      </c>
      <c r="C3" s="13" t="s">
        <v>125</v>
      </c>
      <c r="D3" s="13" t="s">
        <v>14</v>
      </c>
      <c r="E3" s="13"/>
      <c r="F3" s="8" t="s">
        <v>15</v>
      </c>
      <c r="G3" s="8" t="s">
        <v>15</v>
      </c>
      <c r="H3" s="13"/>
      <c r="I3" s="13" t="s">
        <v>126</v>
      </c>
    </row>
    <row r="4" spans="1:11" ht="16.5" customHeight="1" x14ac:dyDescent="0.3">
      <c r="A4" s="8">
        <f>ROW()-2</f>
        <v>2</v>
      </c>
      <c r="B4" s="13" t="s">
        <v>167</v>
      </c>
      <c r="C4" s="13" t="s">
        <v>168</v>
      </c>
      <c r="D4" s="13" t="s">
        <v>169</v>
      </c>
      <c r="E4" s="13">
        <v>10</v>
      </c>
      <c r="F4" s="8"/>
      <c r="G4" s="8" t="s">
        <v>15</v>
      </c>
      <c r="H4" s="13"/>
      <c r="I4" s="13" t="s">
        <v>200</v>
      </c>
    </row>
    <row r="5" spans="1:11" ht="18" customHeight="1" x14ac:dyDescent="0.3">
      <c r="A5" s="8">
        <f t="shared" ref="A5:A6" si="0">ROW()-2</f>
        <v>3</v>
      </c>
      <c r="B5" s="13" t="s">
        <v>170</v>
      </c>
      <c r="C5" s="13" t="s">
        <v>171</v>
      </c>
      <c r="D5" s="13" t="s">
        <v>18</v>
      </c>
      <c r="E5" s="13">
        <v>20</v>
      </c>
      <c r="F5" s="8"/>
      <c r="G5" s="8" t="s">
        <v>15</v>
      </c>
      <c r="H5" s="13"/>
      <c r="I5" s="13"/>
    </row>
    <row r="6" spans="1:11" ht="18" customHeight="1" x14ac:dyDescent="0.3">
      <c r="A6" s="8">
        <f t="shared" si="0"/>
        <v>4</v>
      </c>
      <c r="B6" s="13" t="s">
        <v>128</v>
      </c>
      <c r="C6" s="13" t="s">
        <v>129</v>
      </c>
      <c r="D6" s="13" t="s">
        <v>18</v>
      </c>
      <c r="E6" s="13">
        <v>50</v>
      </c>
      <c r="F6" s="8"/>
      <c r="G6" s="8"/>
      <c r="H6" s="13"/>
      <c r="I6" s="13"/>
    </row>
  </sheetData>
  <mergeCells count="1">
    <mergeCell ref="A1:I1"/>
  </mergeCells>
  <phoneticPr fontId="5" type="noConversion"/>
  <hyperlinks>
    <hyperlink ref="K1" location="目录!A1" display="返回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4817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818" r:id="rId4" name="Button 2">
              <controlPr defaultSize="0" print="0" autoPict="0" macro="[0]!create_tabl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13"/>
  <sheetViews>
    <sheetView workbookViewId="0">
      <selection activeCell="I10" sqref="I10"/>
    </sheetView>
  </sheetViews>
  <sheetFormatPr defaultColWidth="9" defaultRowHeight="18" customHeight="1" x14ac:dyDescent="0.3"/>
  <cols>
    <col min="1" max="1" width="9" style="6"/>
    <col min="2" max="2" width="25.12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53.5" style="6" customWidth="1"/>
    <col min="10" max="16384" width="9" style="6"/>
  </cols>
  <sheetData>
    <row r="1" spans="1:11" ht="39" customHeight="1" x14ac:dyDescent="0.3">
      <c r="A1" s="33" t="s">
        <v>172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>ROW()-2</f>
        <v>1</v>
      </c>
      <c r="B3" s="13" t="s">
        <v>13</v>
      </c>
      <c r="C3" s="13" t="s">
        <v>125</v>
      </c>
      <c r="D3" s="13" t="s">
        <v>14</v>
      </c>
      <c r="E3" s="13"/>
      <c r="F3" s="8" t="s">
        <v>15</v>
      </c>
      <c r="G3" s="8" t="s">
        <v>15</v>
      </c>
      <c r="H3" s="13"/>
      <c r="I3" s="13" t="s">
        <v>126</v>
      </c>
    </row>
    <row r="4" spans="1:11" ht="16.5" customHeight="1" x14ac:dyDescent="0.3">
      <c r="A4" s="8">
        <f>ROW()-2</f>
        <v>2</v>
      </c>
      <c r="B4" s="13" t="s">
        <v>173</v>
      </c>
      <c r="C4" s="13" t="s">
        <v>174</v>
      </c>
      <c r="D4" s="13" t="s">
        <v>175</v>
      </c>
      <c r="E4" s="13">
        <v>10</v>
      </c>
      <c r="F4" s="8"/>
      <c r="G4" s="8" t="s">
        <v>15</v>
      </c>
      <c r="H4" s="13"/>
      <c r="I4" s="13" t="s">
        <v>176</v>
      </c>
    </row>
    <row r="5" spans="1:11" ht="16.5" customHeight="1" x14ac:dyDescent="0.3">
      <c r="A5" s="8">
        <f>ROW()-2</f>
        <v>3</v>
      </c>
      <c r="B5" s="13" t="s">
        <v>138</v>
      </c>
      <c r="C5" s="13" t="s">
        <v>177</v>
      </c>
      <c r="D5" s="13" t="s">
        <v>178</v>
      </c>
      <c r="E5" s="13"/>
      <c r="F5" s="8"/>
      <c r="G5" s="8" t="s">
        <v>15</v>
      </c>
      <c r="H5" s="13"/>
      <c r="I5" s="13" t="s">
        <v>179</v>
      </c>
    </row>
    <row r="6" spans="1:11" ht="16.5" customHeight="1" x14ac:dyDescent="0.3">
      <c r="A6" s="8">
        <f t="shared" ref="A6:A13" si="0">ROW()-2</f>
        <v>4</v>
      </c>
      <c r="B6" s="13" t="s">
        <v>181</v>
      </c>
      <c r="C6" s="13" t="s">
        <v>182</v>
      </c>
      <c r="D6" s="13" t="s">
        <v>178</v>
      </c>
      <c r="E6" s="13"/>
      <c r="F6" s="8"/>
      <c r="G6" s="8" t="s">
        <v>15</v>
      </c>
      <c r="H6" s="13"/>
      <c r="I6" s="13" t="s">
        <v>183</v>
      </c>
    </row>
    <row r="7" spans="1:11" ht="16.5" customHeight="1" x14ac:dyDescent="0.3">
      <c r="A7" s="8">
        <f t="shared" si="0"/>
        <v>5</v>
      </c>
      <c r="B7" s="13" t="s">
        <v>184</v>
      </c>
      <c r="C7" s="13" t="s">
        <v>185</v>
      </c>
      <c r="D7" s="13" t="s">
        <v>186</v>
      </c>
      <c r="E7" s="13">
        <v>20</v>
      </c>
      <c r="F7" s="8"/>
      <c r="G7" s="8" t="s">
        <v>15</v>
      </c>
      <c r="H7" s="13"/>
      <c r="I7" s="13"/>
    </row>
    <row r="8" spans="1:11" ht="18" customHeight="1" x14ac:dyDescent="0.3">
      <c r="A8" s="8">
        <f t="shared" si="0"/>
        <v>6</v>
      </c>
      <c r="B8" s="13" t="s">
        <v>187</v>
      </c>
      <c r="C8" s="13" t="s">
        <v>188</v>
      </c>
      <c r="D8" s="13" t="s">
        <v>127</v>
      </c>
      <c r="E8" s="13"/>
      <c r="F8" s="8"/>
      <c r="G8" s="8" t="s">
        <v>15</v>
      </c>
      <c r="H8" s="13"/>
      <c r="I8" s="13" t="s">
        <v>189</v>
      </c>
    </row>
    <row r="9" spans="1:11" ht="18" customHeight="1" x14ac:dyDescent="0.3">
      <c r="A9" s="8">
        <f t="shared" si="0"/>
        <v>7</v>
      </c>
      <c r="B9" s="13" t="s">
        <v>190</v>
      </c>
      <c r="C9" s="13" t="s">
        <v>191</v>
      </c>
      <c r="D9" s="13" t="s">
        <v>178</v>
      </c>
      <c r="E9" s="13">
        <v>1</v>
      </c>
      <c r="F9" s="8"/>
      <c r="G9" s="8"/>
      <c r="H9" s="13">
        <v>1</v>
      </c>
      <c r="I9" s="13" t="s">
        <v>244</v>
      </c>
    </row>
    <row r="10" spans="1:11" ht="18" customHeight="1" x14ac:dyDescent="0.3">
      <c r="A10" s="8">
        <f t="shared" si="0"/>
        <v>8</v>
      </c>
      <c r="B10" s="13" t="s">
        <v>192</v>
      </c>
      <c r="C10" s="13" t="s">
        <v>193</v>
      </c>
      <c r="D10" s="13" t="s">
        <v>127</v>
      </c>
      <c r="E10" s="13"/>
      <c r="F10" s="8"/>
      <c r="G10" s="8"/>
      <c r="H10" s="13"/>
      <c r="I10" s="13" t="s">
        <v>194</v>
      </c>
    </row>
    <row r="11" spans="1:11" ht="18" customHeight="1" x14ac:dyDescent="0.3">
      <c r="A11" s="8">
        <f t="shared" si="0"/>
        <v>9</v>
      </c>
      <c r="B11" s="13" t="s">
        <v>228</v>
      </c>
      <c r="C11" s="13" t="s">
        <v>195</v>
      </c>
      <c r="D11" s="13" t="s">
        <v>196</v>
      </c>
      <c r="E11" s="13"/>
      <c r="F11" s="8"/>
      <c r="G11" s="8"/>
      <c r="H11" s="13"/>
      <c r="I11" s="13" t="s">
        <v>197</v>
      </c>
    </row>
    <row r="12" spans="1:11" ht="18" customHeight="1" x14ac:dyDescent="0.3">
      <c r="A12" s="8">
        <f t="shared" si="0"/>
        <v>10</v>
      </c>
      <c r="B12" s="13" t="s">
        <v>139</v>
      </c>
      <c r="C12" s="13" t="s">
        <v>229</v>
      </c>
      <c r="D12" s="13" t="s">
        <v>196</v>
      </c>
      <c r="E12" s="13"/>
      <c r="F12" s="8"/>
      <c r="G12" s="8"/>
      <c r="H12" s="13"/>
      <c r="I12" s="13" t="s">
        <v>198</v>
      </c>
    </row>
    <row r="13" spans="1:11" ht="16.5" x14ac:dyDescent="0.3">
      <c r="A13" s="8">
        <f t="shared" si="0"/>
        <v>11</v>
      </c>
      <c r="B13" s="13" t="s">
        <v>231</v>
      </c>
      <c r="C13" s="13" t="s">
        <v>232</v>
      </c>
      <c r="D13" s="13" t="s">
        <v>169</v>
      </c>
      <c r="E13" s="13">
        <v>200</v>
      </c>
      <c r="F13" s="8"/>
      <c r="G13" s="8"/>
      <c r="H13" s="13"/>
      <c r="I13" s="20"/>
    </row>
  </sheetData>
  <mergeCells count="1">
    <mergeCell ref="A1:I1"/>
  </mergeCells>
  <phoneticPr fontId="5" type="noConversion"/>
  <hyperlinks>
    <hyperlink ref="K1" location="目录!A1" display="返回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Pict="0" macro="[0]!create_tabl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4"/>
  <sheetViews>
    <sheetView workbookViewId="0">
      <selection activeCell="K1" sqref="K1"/>
    </sheetView>
  </sheetViews>
  <sheetFormatPr defaultColWidth="9" defaultRowHeight="18" customHeight="1" x14ac:dyDescent="0.3"/>
  <cols>
    <col min="1" max="1" width="9" style="6"/>
    <col min="2" max="2" width="25.12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53.5" style="6" customWidth="1"/>
    <col min="10" max="16384" width="9" style="6"/>
  </cols>
  <sheetData>
    <row r="1" spans="1:11" ht="39" customHeight="1" x14ac:dyDescent="0.3">
      <c r="A1" s="33" t="s">
        <v>202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>ROW()-2</f>
        <v>1</v>
      </c>
      <c r="B3" s="13" t="s">
        <v>13</v>
      </c>
      <c r="C3" s="13" t="s">
        <v>125</v>
      </c>
      <c r="D3" s="13" t="s">
        <v>14</v>
      </c>
      <c r="E3" s="13"/>
      <c r="F3" s="8" t="s">
        <v>15</v>
      </c>
      <c r="G3" s="8" t="s">
        <v>15</v>
      </c>
      <c r="H3" s="13"/>
      <c r="I3" s="13" t="s">
        <v>126</v>
      </c>
    </row>
    <row r="4" spans="1:11" ht="16.5" customHeight="1" x14ac:dyDescent="0.3">
      <c r="A4" s="8">
        <f>ROW()-2</f>
        <v>2</v>
      </c>
      <c r="B4" s="13" t="s">
        <v>173</v>
      </c>
      <c r="C4" s="13" t="s">
        <v>174</v>
      </c>
      <c r="D4" s="13" t="s">
        <v>175</v>
      </c>
      <c r="E4" s="13">
        <v>10</v>
      </c>
      <c r="F4" s="8"/>
      <c r="G4" s="8" t="s">
        <v>15</v>
      </c>
      <c r="H4" s="13"/>
      <c r="I4" s="13" t="s">
        <v>176</v>
      </c>
    </row>
    <row r="5" spans="1:11" ht="16.5" customHeight="1" x14ac:dyDescent="0.3">
      <c r="A5" s="8">
        <f>ROW()-2</f>
        <v>3</v>
      </c>
      <c r="B5" s="13" t="s">
        <v>138</v>
      </c>
      <c r="C5" s="13" t="s">
        <v>177</v>
      </c>
      <c r="D5" s="13" t="s">
        <v>178</v>
      </c>
      <c r="E5" s="13"/>
      <c r="F5" s="8"/>
      <c r="G5" s="8" t="s">
        <v>15</v>
      </c>
      <c r="H5" s="13"/>
      <c r="I5" s="13" t="s">
        <v>179</v>
      </c>
    </row>
    <row r="6" spans="1:11" ht="16.5" customHeight="1" x14ac:dyDescent="0.3">
      <c r="A6" s="8">
        <f t="shared" ref="A6:A14" si="0">ROW()-2</f>
        <v>4</v>
      </c>
      <c r="B6" s="13" t="s">
        <v>203</v>
      </c>
      <c r="C6" s="13" t="s">
        <v>204</v>
      </c>
      <c r="D6" s="13" t="s">
        <v>178</v>
      </c>
      <c r="E6" s="13"/>
      <c r="F6" s="8"/>
      <c r="G6" s="8"/>
      <c r="H6" s="13">
        <v>0</v>
      </c>
      <c r="I6" s="13"/>
    </row>
    <row r="7" spans="1:11" ht="16.5" customHeight="1" x14ac:dyDescent="0.3">
      <c r="A7" s="8">
        <f t="shared" si="0"/>
        <v>5</v>
      </c>
      <c r="B7" s="13" t="s">
        <v>205</v>
      </c>
      <c r="C7" s="13" t="s">
        <v>206</v>
      </c>
      <c r="D7" s="13" t="s">
        <v>178</v>
      </c>
      <c r="E7" s="13"/>
      <c r="F7" s="8"/>
      <c r="G7" s="8"/>
      <c r="H7" s="13"/>
      <c r="I7" s="13"/>
    </row>
    <row r="8" spans="1:11" ht="18" customHeight="1" x14ac:dyDescent="0.3">
      <c r="A8" s="8">
        <f t="shared" si="0"/>
        <v>6</v>
      </c>
      <c r="B8" s="13" t="s">
        <v>207</v>
      </c>
      <c r="C8" s="13" t="s">
        <v>208</v>
      </c>
      <c r="D8" s="13" t="s">
        <v>178</v>
      </c>
      <c r="E8" s="13"/>
      <c r="F8" s="8"/>
      <c r="G8" s="8"/>
      <c r="H8" s="13"/>
      <c r="I8" s="13"/>
    </row>
    <row r="9" spans="1:11" ht="18" customHeight="1" x14ac:dyDescent="0.3">
      <c r="A9" s="8">
        <f t="shared" si="0"/>
        <v>7</v>
      </c>
      <c r="B9" s="13" t="s">
        <v>209</v>
      </c>
      <c r="C9" s="13" t="s">
        <v>210</v>
      </c>
      <c r="D9" s="13" t="s">
        <v>178</v>
      </c>
      <c r="E9" s="13"/>
      <c r="F9" s="8"/>
      <c r="G9" s="8"/>
      <c r="H9" s="13"/>
      <c r="I9" s="13"/>
    </row>
    <row r="10" spans="1:11" ht="18" customHeight="1" x14ac:dyDescent="0.3">
      <c r="A10" s="8">
        <f t="shared" si="0"/>
        <v>8</v>
      </c>
      <c r="B10" s="13" t="s">
        <v>211</v>
      </c>
      <c r="C10" s="13" t="s">
        <v>212</v>
      </c>
      <c r="D10" s="13" t="s">
        <v>178</v>
      </c>
      <c r="E10" s="13"/>
      <c r="F10" s="8"/>
      <c r="G10" s="8"/>
      <c r="H10" s="13"/>
      <c r="I10" s="13"/>
    </row>
    <row r="11" spans="1:11" ht="18" customHeight="1" x14ac:dyDescent="0.3">
      <c r="A11" s="8">
        <f t="shared" si="0"/>
        <v>9</v>
      </c>
      <c r="B11" s="13" t="s">
        <v>213</v>
      </c>
      <c r="C11" s="13" t="s">
        <v>214</v>
      </c>
      <c r="D11" s="13" t="s">
        <v>178</v>
      </c>
      <c r="E11" s="13"/>
      <c r="F11" s="8"/>
      <c r="G11" s="8"/>
      <c r="H11" s="13"/>
      <c r="I11" s="13"/>
    </row>
    <row r="12" spans="1:11" ht="18" customHeight="1" x14ac:dyDescent="0.3">
      <c r="A12" s="8">
        <f t="shared" si="0"/>
        <v>10</v>
      </c>
      <c r="B12" s="13" t="s">
        <v>215</v>
      </c>
      <c r="C12" s="13" t="s">
        <v>216</v>
      </c>
      <c r="D12" s="13" t="s">
        <v>178</v>
      </c>
      <c r="E12" s="13"/>
      <c r="F12" s="8"/>
      <c r="G12" s="8"/>
      <c r="H12" s="13"/>
      <c r="I12" s="13"/>
    </row>
    <row r="13" spans="1:11" ht="18" customHeight="1" x14ac:dyDescent="0.3">
      <c r="A13" s="8">
        <f t="shared" si="0"/>
        <v>11</v>
      </c>
      <c r="B13" s="13" t="s">
        <v>217</v>
      </c>
      <c r="C13" s="13" t="s">
        <v>204</v>
      </c>
      <c r="D13" s="13" t="s">
        <v>178</v>
      </c>
      <c r="E13" s="13"/>
      <c r="F13" s="8"/>
      <c r="G13" s="8"/>
      <c r="H13" s="13"/>
      <c r="I13" s="13"/>
    </row>
    <row r="14" spans="1:11" ht="16.5" x14ac:dyDescent="0.3">
      <c r="A14" s="8">
        <f t="shared" si="0"/>
        <v>12</v>
      </c>
      <c r="B14" s="13" t="s">
        <v>218</v>
      </c>
      <c r="C14" s="13" t="s">
        <v>219</v>
      </c>
      <c r="D14" s="13" t="s">
        <v>175</v>
      </c>
      <c r="E14" s="13">
        <v>5</v>
      </c>
      <c r="F14" s="8"/>
      <c r="G14" s="8"/>
      <c r="H14" s="13"/>
      <c r="I14" s="20" t="s">
        <v>220</v>
      </c>
    </row>
  </sheetData>
  <mergeCells count="1">
    <mergeCell ref="A1:I1"/>
  </mergeCells>
  <phoneticPr fontId="5" type="noConversion"/>
  <hyperlinks>
    <hyperlink ref="K1" location="目录!A1" display="返回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8913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914" r:id="rId4" name="Button 2">
              <controlPr defaultSize="0" print="0" autoPict="0" macro="[0]!create_tabl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1"/>
  <sheetViews>
    <sheetView workbookViewId="0">
      <selection activeCell="C23" sqref="C23"/>
    </sheetView>
  </sheetViews>
  <sheetFormatPr defaultColWidth="9" defaultRowHeight="18" customHeight="1" x14ac:dyDescent="0.3"/>
  <cols>
    <col min="1" max="1" width="9" style="6"/>
    <col min="2" max="2" width="25.125" style="6" customWidth="1"/>
    <col min="3" max="3" width="15.625" style="6" customWidth="1"/>
    <col min="4" max="4" width="13.125" style="6" customWidth="1"/>
    <col min="5" max="5" width="5.5" style="6" customWidth="1"/>
    <col min="6" max="7" width="9" style="6"/>
    <col min="8" max="8" width="23.875" style="6" customWidth="1"/>
    <col min="9" max="9" width="53.5" style="6" customWidth="1"/>
    <col min="10" max="16384" width="9" style="6"/>
  </cols>
  <sheetData>
    <row r="1" spans="1:11" ht="39" customHeight="1" x14ac:dyDescent="0.3">
      <c r="A1" s="33" t="s">
        <v>234</v>
      </c>
      <c r="B1" s="33"/>
      <c r="C1" s="33"/>
      <c r="D1" s="33"/>
      <c r="E1" s="33"/>
      <c r="F1" s="33"/>
      <c r="G1" s="33"/>
      <c r="H1" s="33"/>
      <c r="I1" s="33"/>
      <c r="K1" s="24" t="s">
        <v>158</v>
      </c>
    </row>
    <row r="2" spans="1:11" ht="16.5" customHeight="1" x14ac:dyDescent="0.3">
      <c r="A2" s="7" t="s">
        <v>4</v>
      </c>
      <c r="B2" s="7" t="s">
        <v>5</v>
      </c>
      <c r="C2" s="7" t="s">
        <v>6</v>
      </c>
      <c r="D2" s="7" t="s">
        <v>7</v>
      </c>
      <c r="E2" s="7" t="s">
        <v>8</v>
      </c>
      <c r="F2" s="7" t="s">
        <v>9</v>
      </c>
      <c r="G2" s="7" t="s">
        <v>10</v>
      </c>
      <c r="H2" s="7" t="s">
        <v>11</v>
      </c>
      <c r="I2" s="7" t="s">
        <v>12</v>
      </c>
    </row>
    <row r="3" spans="1:11" ht="16.5" customHeight="1" x14ac:dyDescent="0.3">
      <c r="A3" s="8">
        <f>ROW()-2</f>
        <v>1</v>
      </c>
      <c r="B3" s="13" t="s">
        <v>13</v>
      </c>
      <c r="C3" s="13" t="s">
        <v>125</v>
      </c>
      <c r="D3" s="13" t="s">
        <v>14</v>
      </c>
      <c r="E3" s="13"/>
      <c r="F3" s="8" t="s">
        <v>15</v>
      </c>
      <c r="G3" s="8" t="s">
        <v>15</v>
      </c>
      <c r="H3" s="13"/>
      <c r="I3" s="13" t="s">
        <v>126</v>
      </c>
    </row>
    <row r="4" spans="1:11" ht="16.5" customHeight="1" x14ac:dyDescent="0.3">
      <c r="A4" s="8">
        <f>ROW()-2</f>
        <v>2</v>
      </c>
      <c r="B4" s="13" t="s">
        <v>235</v>
      </c>
      <c r="C4" s="13" t="s">
        <v>233</v>
      </c>
      <c r="D4" s="13" t="s">
        <v>175</v>
      </c>
      <c r="E4" s="13">
        <v>10</v>
      </c>
      <c r="F4" s="8"/>
      <c r="G4" s="8" t="s">
        <v>15</v>
      </c>
      <c r="H4" s="13"/>
      <c r="I4" s="13" t="s">
        <v>176</v>
      </c>
    </row>
    <row r="5" spans="1:11" ht="16.5" customHeight="1" x14ac:dyDescent="0.3">
      <c r="A5" s="8">
        <f>ROW()-2</f>
        <v>3</v>
      </c>
      <c r="B5" s="13" t="s">
        <v>138</v>
      </c>
      <c r="C5" s="13" t="s">
        <v>177</v>
      </c>
      <c r="D5" s="13" t="s">
        <v>178</v>
      </c>
      <c r="E5" s="13"/>
      <c r="F5" s="8"/>
      <c r="G5" s="8" t="s">
        <v>15</v>
      </c>
      <c r="H5" s="13"/>
      <c r="I5" s="13" t="s">
        <v>179</v>
      </c>
    </row>
    <row r="6" spans="1:11" ht="16.5" customHeight="1" x14ac:dyDescent="0.3">
      <c r="A6" s="8">
        <f t="shared" ref="A6:A11" si="0">ROW()-2</f>
        <v>4</v>
      </c>
      <c r="B6" s="13" t="s">
        <v>228</v>
      </c>
      <c r="C6" s="13" t="s">
        <v>237</v>
      </c>
      <c r="D6" s="13" t="s">
        <v>238</v>
      </c>
      <c r="E6" s="13"/>
      <c r="F6" s="8"/>
      <c r="G6" s="8" t="s">
        <v>15</v>
      </c>
      <c r="H6" s="13"/>
      <c r="I6" s="13"/>
    </row>
    <row r="7" spans="1:11" ht="18" customHeight="1" x14ac:dyDescent="0.3">
      <c r="A7" s="8">
        <f t="shared" si="0"/>
        <v>5</v>
      </c>
      <c r="B7" s="13" t="s">
        <v>236</v>
      </c>
      <c r="C7" s="13" t="s">
        <v>239</v>
      </c>
      <c r="D7" s="13" t="s">
        <v>178</v>
      </c>
      <c r="E7" s="13"/>
      <c r="F7" s="8"/>
      <c r="G7" s="8"/>
      <c r="H7" s="13"/>
      <c r="I7" s="13"/>
    </row>
    <row r="8" spans="1:11" ht="18" customHeight="1" x14ac:dyDescent="0.3">
      <c r="A8" s="8">
        <f t="shared" si="0"/>
        <v>6</v>
      </c>
      <c r="B8" s="13" t="s">
        <v>241</v>
      </c>
      <c r="C8" s="13" t="s">
        <v>240</v>
      </c>
      <c r="D8" s="13" t="s">
        <v>238</v>
      </c>
      <c r="E8" s="13"/>
      <c r="F8" s="8"/>
      <c r="G8" s="8"/>
      <c r="H8" s="13"/>
      <c r="I8" s="13" t="s">
        <v>194</v>
      </c>
    </row>
    <row r="9" spans="1:11" ht="18" customHeight="1" x14ac:dyDescent="0.3">
      <c r="A9" s="8">
        <f t="shared" si="0"/>
        <v>7</v>
      </c>
      <c r="B9" s="13" t="s">
        <v>242</v>
      </c>
      <c r="C9" s="13" t="s">
        <v>243</v>
      </c>
      <c r="D9" s="13" t="s">
        <v>178</v>
      </c>
      <c r="E9" s="13"/>
      <c r="F9" s="8"/>
      <c r="G9" s="8"/>
      <c r="H9" s="13"/>
      <c r="I9" s="13"/>
    </row>
    <row r="10" spans="1:11" ht="99" x14ac:dyDescent="0.3">
      <c r="A10" s="8">
        <f t="shared" si="0"/>
        <v>8</v>
      </c>
      <c r="B10" s="13" t="s">
        <v>230</v>
      </c>
      <c r="C10" s="13" t="s">
        <v>199</v>
      </c>
      <c r="D10" s="13" t="s">
        <v>169</v>
      </c>
      <c r="E10" s="13">
        <v>20</v>
      </c>
      <c r="F10" s="8"/>
      <c r="G10" s="8"/>
      <c r="H10" s="13"/>
      <c r="I10" s="20" t="s">
        <v>201</v>
      </c>
    </row>
    <row r="11" spans="1:11" ht="16.5" x14ac:dyDescent="0.3">
      <c r="A11" s="8">
        <f t="shared" si="0"/>
        <v>9</v>
      </c>
      <c r="B11" s="13" t="s">
        <v>128</v>
      </c>
      <c r="C11" s="13" t="s">
        <v>232</v>
      </c>
      <c r="D11" s="13" t="s">
        <v>169</v>
      </c>
      <c r="E11" s="13">
        <v>200</v>
      </c>
      <c r="F11" s="8"/>
      <c r="G11" s="8"/>
      <c r="H11" s="13"/>
      <c r="I11" s="20"/>
    </row>
  </sheetData>
  <mergeCells count="1">
    <mergeCell ref="A1:I1"/>
  </mergeCells>
  <phoneticPr fontId="5" type="noConversion"/>
  <hyperlinks>
    <hyperlink ref="K1" location="目录!A1" display="返回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9937" r:id="rId3" name="Button 1">
              <controlPr defaultSize="0" print="0" autoPict="0" macro="[0]!generate_procedur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9938" r:id="rId4" name="Button 2">
              <controlPr defaultSize="0" print="0" autoPict="0" macro="[0]!create_table">
                <anchor moveWithCells="1" sizeWithCells="1">
                  <from>
                    <xdr:col>11</xdr:col>
                    <xdr:colOff>133350</xdr:colOff>
                    <xdr:row>0</xdr:row>
                    <xdr:rowOff>114300</xdr:rowOff>
                  </from>
                  <to>
                    <xdr:col>13</xdr:col>
                    <xdr:colOff>333375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变更记录</vt:lpstr>
      <vt:lpstr>目录</vt:lpstr>
      <vt:lpstr>系统用户表</vt:lpstr>
      <vt:lpstr>系统用户组表</vt:lpstr>
      <vt:lpstr>系统分组表</vt:lpstr>
      <vt:lpstr>系统角色表</vt:lpstr>
      <vt:lpstr>系统组角色表</vt:lpstr>
      <vt:lpstr>系统资源表</vt:lpstr>
      <vt:lpstr>系统角色资源表</vt:lpstr>
      <vt:lpstr>系统设定表</vt:lpstr>
      <vt:lpstr>字典表</vt:lpstr>
      <vt:lpstr>数据备份表</vt:lpstr>
      <vt:lpstr>菜单样式表</vt:lpstr>
      <vt:lpstr>产线表</vt:lpstr>
      <vt:lpstr>机种表</vt:lpstr>
      <vt:lpstr>生产计划表</vt:lpstr>
      <vt:lpstr>计划产量表</vt:lpstr>
      <vt:lpstr>报警记录表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dcterms:created xsi:type="dcterms:W3CDTF">2008-09-11T17:22:00Z</dcterms:created>
  <dcterms:modified xsi:type="dcterms:W3CDTF">2018-05-16T02:01:35Z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2052-10.1.0.6554</vt:lpwstr>
  </property>
</Properties>
</file>